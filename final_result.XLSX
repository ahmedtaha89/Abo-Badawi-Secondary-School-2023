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D:\Projects\natega\"/>
    </mc:Choice>
  </mc:AlternateContent>
  <xr:revisionPtr revIDLastSave="0" documentId="13_ncr:1_{A7382631-B449-40AC-B79D-564DF7AD9B6E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11" i="2" l="1"/>
  <c r="S11" i="2"/>
  <c r="R11" i="2"/>
  <c r="Q11" i="2"/>
  <c r="P11" i="2"/>
  <c r="O11" i="2"/>
  <c r="N11" i="2"/>
  <c r="M11" i="2"/>
  <c r="L11" i="2"/>
  <c r="K11" i="2"/>
  <c r="J11" i="2"/>
  <c r="I11" i="2"/>
  <c r="B11" i="2"/>
  <c r="H11" i="2"/>
  <c r="G11" i="2"/>
  <c r="F11" i="2"/>
  <c r="E11" i="2"/>
  <c r="D11" i="2"/>
  <c r="C11" i="2"/>
  <c r="A11" i="2"/>
</calcChain>
</file>

<file path=xl/sharedStrings.xml><?xml version="1.0" encoding="utf-8"?>
<sst xmlns="http://schemas.openxmlformats.org/spreadsheetml/2006/main" count="1035" uniqueCount="150">
  <si>
    <t>اسراء عيد محمد محمد البيلي</t>
  </si>
  <si>
    <t>غير مقرر</t>
  </si>
  <si>
    <t>اسماء اشرف السيد ابراهيم ابراهيم</t>
  </si>
  <si>
    <t>اسماء جمال حسين محمد محمد خليل</t>
  </si>
  <si>
    <t>اسماء رضا محمود السعيد ابراهيم</t>
  </si>
  <si>
    <t>امانى أيمن مصطفى أبو شعيشع على</t>
  </si>
  <si>
    <t>رحمه محمد ابراهيم احمد</t>
  </si>
  <si>
    <t>رضوى محمد الدمرداش علي البرنوجي</t>
  </si>
  <si>
    <t>سارة محمد عبد العزيز على حسن</t>
  </si>
  <si>
    <t>سلوى محمد المتولي عبدالعظيم حسن</t>
  </si>
  <si>
    <t>شهد حسين رمضان احمدعبدالفتاح</t>
  </si>
  <si>
    <t>شهد محمد محمد عثمان السيد الرفاعى</t>
  </si>
  <si>
    <t>لبنى رضا على ابراهيم القبلاوي</t>
  </si>
  <si>
    <t>مرام محمد صادق جمعه حسن</t>
  </si>
  <si>
    <t>منه السيد عبدالعزيز عبدالفتاح محمد</t>
  </si>
  <si>
    <t>منه الله السيد عبداللطيف محمد</t>
  </si>
  <si>
    <t>ندى رضا محمود السيد النواجي</t>
  </si>
  <si>
    <t>ندى عبد الرحمن سليمان على حسن</t>
  </si>
  <si>
    <t>نسمه امن يوسف محمد يوسف</t>
  </si>
  <si>
    <t>نورا محمد ممدوح ابراهيم محمد</t>
  </si>
  <si>
    <t>نورهان احمد عاطف محمد محمد البيلي</t>
  </si>
  <si>
    <t>هاجر محمد مصطفى محمود رضوان</t>
  </si>
  <si>
    <t>هاجر ياسر فتحي مصطفى يوسف</t>
  </si>
  <si>
    <t>هبه عصام الشحات الدسوقي محمد</t>
  </si>
  <si>
    <t>هدير محمد مصطفى محمود رضوان</t>
  </si>
  <si>
    <t>هند رضا مصطفى أبو شعيشع احمد</t>
  </si>
  <si>
    <t>ولاء صلاح الدين أنور عبد الفتاح</t>
  </si>
  <si>
    <t>ياسمين حسين عبدالعزيز السيد محمود</t>
  </si>
  <si>
    <t>احلام محمد البيومى محمود بدران</t>
  </si>
  <si>
    <t>اسراء حسين احمد عبداللطيف البيلي</t>
  </si>
  <si>
    <t>اسراء حمدي عبدالعاطي البسطويسي المرسي</t>
  </si>
  <si>
    <t>اسماء صديق محمد احمد والي</t>
  </si>
  <si>
    <t>الاء معوض فتحي معوض على رزق</t>
  </si>
  <si>
    <t>امال جهاد السيد احمد فودة</t>
  </si>
  <si>
    <t>اماني عبدالحليم عبدالفتاح عبدالحليم</t>
  </si>
  <si>
    <t>اميره محمد السيد محمد بلاطه</t>
  </si>
  <si>
    <t>ايمان الذكير سعد الصاوى</t>
  </si>
  <si>
    <t>ايه السيد احمد فؤاد عبدالغني</t>
  </si>
  <si>
    <t>ايه ايمن علي صالح يوسف</t>
  </si>
  <si>
    <t>ايه خالد محمد يوسف محمد العيسوي</t>
  </si>
  <si>
    <t>ايه رضا علي عبدالرحيم اللبيشي</t>
  </si>
  <si>
    <t>بسمله علي محمد احمد الشناوي</t>
  </si>
  <si>
    <t>بشرى حامد ابراهيم سعيد ناصر</t>
  </si>
  <si>
    <t>جيهان ماهر شفيق عبد الحميد على حمادة</t>
  </si>
  <si>
    <t>حبيبه عبد الحميد ماهر الصباحى</t>
  </si>
  <si>
    <t>حسناء خيري عبدالمقصود عبده زهري</t>
  </si>
  <si>
    <t>حنين ابراهيم فتحي حسن عبد الله</t>
  </si>
  <si>
    <t>خلود محمد حسين على فخرالدين</t>
  </si>
  <si>
    <t>دعاء عبدالفتاح محمد عبدالفتاح</t>
  </si>
  <si>
    <t>دعاء محمد السيد فايد السيد محمد</t>
  </si>
  <si>
    <t>دنيا منير مصطفى عبدالحق الشناوى</t>
  </si>
  <si>
    <t>دينا محمد عبدالعزيز السيد عبدالله</t>
  </si>
  <si>
    <t>رؤى رفعت عبد الغني الرفاعي عبد الله</t>
  </si>
  <si>
    <t>رباب احمد عبدالعزيز علي بدر</t>
  </si>
  <si>
    <t>رحمة على حافظ على</t>
  </si>
  <si>
    <t>رحمه ابراهيم عبد القادر السيد احمد</t>
  </si>
  <si>
    <t>رحمه ابراهيم عبدالعزيز موسى العيسوي</t>
  </si>
  <si>
    <t>رحمه احمد جمال الدين مصطفى الأبس</t>
  </si>
  <si>
    <t>رحمه عبدالمعطي احمد محمد يوسف</t>
  </si>
  <si>
    <t>رحمه هيثم محمد احمد عبدالمقصود</t>
  </si>
  <si>
    <t>رحمه وليد على محمدعلي حسن</t>
  </si>
  <si>
    <t>رنا عبدالحي وجدي محمد طافح</t>
  </si>
  <si>
    <t>روان عماد محمد محمد البيلي</t>
  </si>
  <si>
    <t>روان محمد محمد السعيد محمد يوسف</t>
  </si>
  <si>
    <t>روان يوسف عبدالمحسن يوسف حماد</t>
  </si>
  <si>
    <t>ريحانه وليد عطيه محمدالعزب</t>
  </si>
  <si>
    <t>ريهام فتحي السيد ابواليزيد المغني</t>
  </si>
  <si>
    <t>سارة محمود مسعود محمود حسنين</t>
  </si>
  <si>
    <t>ساره مصطفى عبدالفتاح محمد يوسف</t>
  </si>
  <si>
    <t>سعاد وليد عبدالدايم موسى العيسوي</t>
  </si>
  <si>
    <t>شهد رضا محمود مصطفى محمود</t>
  </si>
  <si>
    <t>شهد عوض حمدى عبدالقادر عبدالمقصود</t>
  </si>
  <si>
    <t>شهد ممدوح كامل عبدالحميد احمد</t>
  </si>
  <si>
    <t>شيماء السيد البيلي السيد صالح</t>
  </si>
  <si>
    <t>فاطمة منير موسى عبدالفتاح محمود</t>
  </si>
  <si>
    <t>فاطمه احمد محمد النبوي محمد</t>
  </si>
  <si>
    <t>فاطمه اشرف محمد عبدالوهاب بدر</t>
  </si>
  <si>
    <t>فاطمه عادل جمال الدين مصطفى الابس</t>
  </si>
  <si>
    <t>فاطمه عبدالمحسن عبدالفتاح احمد غازي</t>
  </si>
  <si>
    <t>فاطمه فراج الالفى فرحات محمد الالفى</t>
  </si>
  <si>
    <t>فريده اشرف السيد ابراهيم ابراهيم</t>
  </si>
  <si>
    <t>لطيفه مصطفى محمد سعد محمد عوض</t>
  </si>
  <si>
    <t>مرام صالح المتولى صالح حسن</t>
  </si>
  <si>
    <t>مروه الشحات عبد الله احمد محمد متولى</t>
  </si>
  <si>
    <t>مريم طارق محمد عبد القادر عبدالمقصود</t>
  </si>
  <si>
    <t>مريم محمد عبدالرؤف محمد الدسوقي</t>
  </si>
  <si>
    <t>منار الشحات محمد السيد عبدالهادي</t>
  </si>
  <si>
    <t>منةالله صفوت محمود حافظ عوض</t>
  </si>
  <si>
    <t>منه ابراهيم عبد المنعم ابراهيم غالى</t>
  </si>
  <si>
    <t>منه حمدي عبدالحليم حامد ماضي</t>
  </si>
  <si>
    <t>منه رضا عبدالعزيز مصطفى احمد</t>
  </si>
  <si>
    <t>منه رضا عبدالغفور عبدالرازق المغازي</t>
  </si>
  <si>
    <t>منه رمضان السيد محمد بلاطه</t>
  </si>
  <si>
    <t>منه زهري مصطفى يوسف زهري</t>
  </si>
  <si>
    <t>منى كامل حلمى ابراهيم كامل</t>
  </si>
  <si>
    <t>منى محمد عبدالحق سيداحمد الشناوي</t>
  </si>
  <si>
    <t>مى السيد سمير مصطفى</t>
  </si>
  <si>
    <t>ندى تامر محمد عبدالعزيز سليمان</t>
  </si>
  <si>
    <t>ندى محمود فتوح اسماعيل محمد</t>
  </si>
  <si>
    <t>نورا عبدالرشيد الدمرداش حامد</t>
  </si>
  <si>
    <t>نوران نجاح انور عبد العال البيلى</t>
  </si>
  <si>
    <t>نيفين محمد علي حسن</t>
  </si>
  <si>
    <t>هاجر ابراهيم محمود السيد عطية</t>
  </si>
  <si>
    <t>هاجر زغلول عبد الحليم أبو شعيشع جاد الله</t>
  </si>
  <si>
    <t>هانم محمود محمد السيد</t>
  </si>
  <si>
    <t>هبه احمد السيد علي محمد عبدالعال</t>
  </si>
  <si>
    <t>هبه كامل مجاهد العوضى سلام</t>
  </si>
  <si>
    <t>هبه محمد علي عبدالفتاح مرزوق</t>
  </si>
  <si>
    <t>هدير ناصر سعد الصاوى كشكه</t>
  </si>
  <si>
    <t>هناء طارق عبدالحق المغازي علي</t>
  </si>
  <si>
    <t>هناء مصطفى احمد جاد جاد</t>
  </si>
  <si>
    <t>هند علي العرابي محمد السيد</t>
  </si>
  <si>
    <t>وداد عوض عبد الرحمن عوض حموده</t>
  </si>
  <si>
    <t>يارا سعيد عبدالله متولي عبدالله</t>
  </si>
  <si>
    <t>يارا عبدالمعبود نبيه كامل مسلم</t>
  </si>
  <si>
    <t>ياسمين سعيد عبدالله متولي عبدالله</t>
  </si>
  <si>
    <t>ياسمين محمود عبدالحميد عبدالله حجه</t>
  </si>
  <si>
    <t>ياسمين مصطفى عمر عبدالمعبود علي علي داود</t>
  </si>
  <si>
    <t>يمنى طارق جميل محمد الدسوقي</t>
  </si>
  <si>
    <t>دعاء محمود سالم محمود مصطفى</t>
  </si>
  <si>
    <t>معفى</t>
  </si>
  <si>
    <t>اسماء السيد صلاح السيد المغازي</t>
  </si>
  <si>
    <t>رضوى رضا حامد حسن عمر</t>
  </si>
  <si>
    <t>ريهام رمضان أنور عبد الحميد قنديل</t>
  </si>
  <si>
    <t>منى المتولى حسن الغريب ابراهيم</t>
  </si>
  <si>
    <t>ندى ذكي عبدالوهاب محمد السيد</t>
  </si>
  <si>
    <t>رقم الجلوس</t>
  </si>
  <si>
    <t>الاسم</t>
  </si>
  <si>
    <t>المجموع</t>
  </si>
  <si>
    <t>النسبة</t>
  </si>
  <si>
    <t>حالة الطالب</t>
  </si>
  <si>
    <t>عربي</t>
  </si>
  <si>
    <t>اللغة الأجنبية الثانية</t>
  </si>
  <si>
    <t>اللغة الأجنبية الثانية2</t>
  </si>
  <si>
    <t>التاريخ</t>
  </si>
  <si>
    <t>الجغرافيا</t>
  </si>
  <si>
    <t>الفلسفة والمنطق</t>
  </si>
  <si>
    <t>علم النفس والاجتماع</t>
  </si>
  <si>
    <t>الكيمياء</t>
  </si>
  <si>
    <t>الأحياء </t>
  </si>
  <si>
    <t>الجيولوجيا وعلوم البيئة</t>
  </si>
  <si>
    <t>الفيزياء </t>
  </si>
  <si>
    <t>مجموع الرياضيات البحتة</t>
  </si>
  <si>
    <t>الرياضيات التطبيقية</t>
  </si>
  <si>
    <t>التربية الدينية</t>
  </si>
  <si>
    <t>الاقتصاد والإحصاء</t>
  </si>
  <si>
    <t>ناجح</t>
  </si>
  <si>
    <t>دور ثاني</t>
  </si>
  <si>
    <t>نتيجة الصف الثالث الثانوي 2023</t>
  </si>
  <si>
    <t>ادخل رقم الجلوس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</si>
</sst>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Greta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Greta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4">
    <xf numFmtId="0" fontId="0" fillId="0" borderId="0" xfId="0"/>
    <xf numFmtId="10" fontId="0" fillId="0" borderId="0" xfId="0" applyNumberFormat="1"/>
    <xf numFmtId="0" fontId="1" fillId="2" borderId="0" xfId="0" applyFont="1" applyFill="1" applyAlignment="1">
      <alignment horizontal="center" vertical="center" readingOrder="2"/>
    </xf>
    <xf numFmtId="0" fontId="2" fillId="2" borderId="0" xfId="0" applyFont="1" applyFill="1" applyAlignment="1">
      <alignment horizontal="center" vertical="center" readingOrder="2"/>
    </xf>
    <xf numFmtId="0" fontId="6" fillId="2" borderId="1" xfId="0" applyFont="1" applyFill="1" applyBorder="1" applyAlignment="1">
      <alignment horizontal="center" vertical="center" wrapText="1" readingOrder="2"/>
    </xf>
    <xf numFmtId="0" fontId="6" fillId="2" borderId="2" xfId="0" applyFont="1" applyFill="1" applyBorder="1" applyAlignment="1">
      <alignment horizontal="center" vertical="center" wrapText="1" readingOrder="2"/>
    </xf>
    <xf numFmtId="0" fontId="7" fillId="2" borderId="2" xfId="0" applyFont="1" applyFill="1" applyBorder="1" applyAlignment="1">
      <alignment horizontal="center" vertical="center" wrapText="1" readingOrder="2"/>
    </xf>
    <xf numFmtId="0" fontId="7" fillId="2" borderId="3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10" fontId="8" fillId="0" borderId="0" xfId="1" applyNumberFormat="1" applyFont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2">
    <dxf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Greta"/>
        <scheme val="none"/>
      </font>
      <fill>
        <patternFill patternType="solid">
          <fgColor rgb="FF4472C4"/>
          <bgColor rgb="FF4472C4"/>
        </patternFill>
      </fill>
      <alignment horizontal="center" vertical="center" textRotation="0" wrapText="0" indent="0" justifyLastLine="0" shrinkToFit="0" readingOrder="2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7E1DAF-A519-40BB-938A-A4C5D7D0849D}" name="Table1" displayName="Table1" ref="A1:T125" totalsRowShown="0" headerRowDxfId="1">
  <autoFilter ref="A1:T125" xr:uid="{307E1DAF-A519-40BB-938A-A4C5D7D0849D}"/>
  <sortState xmlns:xlrd2="http://schemas.microsoft.com/office/spreadsheetml/2017/richdata2" ref="A2:T125">
    <sortCondition descending="1" ref="D1:D125"/>
  </sortState>
  <tableColumns count="20">
    <tableColumn id="1" xr3:uid="{362B1EB9-3D74-4113-A1C6-B0E9565CF530}" name="رقم الجلوس"/>
    <tableColumn id="2" xr3:uid="{CFDE6F10-AB46-49D2-8C93-64DE05EA5B47}" name="الاسم"/>
    <tableColumn id="3" xr3:uid="{B9CEFF8B-4288-41C7-A4E1-31C3448FA602}" name="المجموع"/>
    <tableColumn id="4" xr3:uid="{7F5A5462-0327-4B87-BB68-630B721F4516}" name="النسبة" dataDxfId="0"/>
    <tableColumn id="5" xr3:uid="{BE6B72DB-301E-495C-AC8E-A6A3F81D30A7}" name="حالة الطالب"/>
    <tableColumn id="6" xr3:uid="{79C20559-2E46-4EE3-8212-BD25CFB71209}" name="عربي"/>
    <tableColumn id="7" xr3:uid="{71211C41-96D9-4565-A9D6-21AA4A22FA4C}" name="اللغة الأجنبية الثانية"/>
    <tableColumn id="8" xr3:uid="{C6BE47E5-76D2-41A1-8164-66DFF2C8BC23}" name="اللغة الأجنبية الثانية2"/>
    <tableColumn id="9" xr3:uid="{AFD7F326-69FC-4591-A6CE-C9B7D4610666}" name="التاريخ"/>
    <tableColumn id="10" xr3:uid="{8D65E9AB-DD2C-4BE1-96C0-DC40D689C3F3}" name="الجغرافيا"/>
    <tableColumn id="11" xr3:uid="{C85F7D94-FABB-4C76-9A8D-A22CCC0211A2}" name="الفلسفة والمنطق"/>
    <tableColumn id="12" xr3:uid="{9741E702-06F9-47F2-A2B4-81AFE919AF9C}" name="علم النفس والاجتماع"/>
    <tableColumn id="13" xr3:uid="{4E631886-C85E-4E3A-BC33-2C5DC93B113D}" name="الكيمياء"/>
    <tableColumn id="14" xr3:uid="{A074F204-C6E3-4C09-9623-33D17E2C2265}" name="الأحياء "/>
    <tableColumn id="15" xr3:uid="{5EBB5BD2-3DDF-405A-A89E-6602B7784D68}" name="الجيولوجيا وعلوم البيئة"/>
    <tableColumn id="16" xr3:uid="{B08517FB-ECEE-4E08-8934-77E746E41335}" name="الفيزياء "/>
    <tableColumn id="17" xr3:uid="{D4BDD2AC-7F6E-42EF-A22B-84BD091D9909}" name="مجموع الرياضيات البحتة"/>
    <tableColumn id="18" xr3:uid="{5EDDD728-7891-478E-88CD-E14D8986C240}" name="الرياضيات التطبيقية"/>
    <tableColumn id="19" xr3:uid="{FE7F2AFC-CF69-4635-B08C-F9F3208DEB1D}" name="التربية الدينية"/>
    <tableColumn id="21" xr3:uid="{6CD3CAC2-C056-46B8-9859-F342DC704A26}" name="الاقتصاد والإحصاء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5"/>
  <sheetViews>
    <sheetView topLeftCell="F1" workbookViewId="0">
      <selection sqref="A1:T1"/>
    </sheetView>
  </sheetViews>
  <sheetFormatPr defaultColWidth="18.109375" defaultRowHeight="14.4"/>
  <cols>
    <col min="1" max="1" width="11.33203125" customWidth="1"/>
    <col min="2" max="2" width="31.77734375" bestFit="1" customWidth="1"/>
    <col min="3" max="3" width="8.5546875" customWidth="1"/>
    <col min="4" max="4" width="7.21875" customWidth="1"/>
    <col min="5" max="5" width="11.109375" customWidth="1"/>
    <col min="6" max="6" width="17.109375" customWidth="1"/>
    <col min="7" max="7" width="15.44140625" customWidth="1"/>
    <col min="8" max="8" width="17.21875" customWidth="1"/>
    <col min="9" max="9" width="9.77734375" customWidth="1"/>
    <col min="10" max="10" width="8.33203125" customWidth="1"/>
    <col min="11" max="11" width="13.44140625" customWidth="1"/>
    <col min="12" max="12" width="16.33203125" customWidth="1"/>
    <col min="13" max="13" width="7.6640625" customWidth="1"/>
    <col min="14" max="14" width="7.77734375" customWidth="1"/>
    <col min="15" max="15" width="18" customWidth="1"/>
    <col min="16" max="16" width="8.33203125" customWidth="1"/>
    <col min="17" max="17" width="19" customWidth="1"/>
    <col min="18" max="18" width="15.6640625" customWidth="1"/>
    <col min="19" max="19" width="11.6640625" customWidth="1"/>
    <col min="20" max="20" width="14.88671875" customWidth="1"/>
  </cols>
  <sheetData>
    <row r="1" spans="1:20">
      <c r="A1" s="2" t="s">
        <v>126</v>
      </c>
      <c r="B1" s="2" t="s">
        <v>127</v>
      </c>
      <c r="C1" s="2" t="s">
        <v>128</v>
      </c>
      <c r="D1" s="2" t="s">
        <v>129</v>
      </c>
      <c r="E1" s="2" t="s">
        <v>130</v>
      </c>
      <c r="F1" s="2" t="s">
        <v>131</v>
      </c>
      <c r="G1" s="3" t="s">
        <v>132</v>
      </c>
      <c r="H1" s="2" t="s">
        <v>133</v>
      </c>
      <c r="I1" s="3" t="s">
        <v>134</v>
      </c>
      <c r="J1" s="3" t="s">
        <v>135</v>
      </c>
      <c r="K1" s="3" t="s">
        <v>136</v>
      </c>
      <c r="L1" s="3" t="s">
        <v>137</v>
      </c>
      <c r="M1" s="3" t="s">
        <v>138</v>
      </c>
      <c r="N1" s="3" t="s">
        <v>139</v>
      </c>
      <c r="O1" s="3" t="s">
        <v>140</v>
      </c>
      <c r="P1" s="3" t="s">
        <v>141</v>
      </c>
      <c r="Q1" s="3" t="s">
        <v>142</v>
      </c>
      <c r="R1" s="3" t="s">
        <v>143</v>
      </c>
      <c r="S1" s="3" t="s">
        <v>144</v>
      </c>
      <c r="T1" s="3" t="s">
        <v>145</v>
      </c>
    </row>
    <row r="2" spans="1:20">
      <c r="A2">
        <v>1459586</v>
      </c>
      <c r="B2" t="s">
        <v>56</v>
      </c>
      <c r="C2">
        <v>380</v>
      </c>
      <c r="D2" s="1">
        <v>0.92679999999999996</v>
      </c>
      <c r="E2" t="s">
        <v>146</v>
      </c>
      <c r="F2">
        <v>76.5</v>
      </c>
      <c r="G2">
        <v>49.5</v>
      </c>
      <c r="H2">
        <v>39.5</v>
      </c>
      <c r="I2" t="s">
        <v>1</v>
      </c>
      <c r="J2" t="s">
        <v>1</v>
      </c>
      <c r="K2" t="s">
        <v>1</v>
      </c>
      <c r="L2" t="s">
        <v>1</v>
      </c>
      <c r="M2">
        <v>55</v>
      </c>
      <c r="N2">
        <v>44.5</v>
      </c>
      <c r="O2">
        <v>60</v>
      </c>
      <c r="P2">
        <v>55</v>
      </c>
      <c r="Q2" t="s">
        <v>1</v>
      </c>
      <c r="R2" t="s">
        <v>1</v>
      </c>
      <c r="S2">
        <v>22</v>
      </c>
      <c r="T2">
        <v>40</v>
      </c>
    </row>
    <row r="3" spans="1:20">
      <c r="A3">
        <v>1459568</v>
      </c>
      <c r="B3" t="s">
        <v>38</v>
      </c>
      <c r="C3">
        <v>378.5</v>
      </c>
      <c r="D3" s="1">
        <v>0.92320000000000002</v>
      </c>
      <c r="E3" t="s">
        <v>146</v>
      </c>
      <c r="F3">
        <v>79.5</v>
      </c>
      <c r="G3">
        <v>48.5</v>
      </c>
      <c r="H3">
        <v>39.5</v>
      </c>
      <c r="I3" t="s">
        <v>1</v>
      </c>
      <c r="J3" t="s">
        <v>1</v>
      </c>
      <c r="K3" t="s">
        <v>1</v>
      </c>
      <c r="L3" t="s">
        <v>1</v>
      </c>
      <c r="M3">
        <v>55</v>
      </c>
      <c r="N3">
        <v>45</v>
      </c>
      <c r="O3">
        <v>58</v>
      </c>
      <c r="P3">
        <v>53</v>
      </c>
      <c r="Q3" t="s">
        <v>1</v>
      </c>
      <c r="R3" t="s">
        <v>1</v>
      </c>
      <c r="S3">
        <v>18</v>
      </c>
      <c r="T3">
        <v>30</v>
      </c>
    </row>
    <row r="4" spans="1:20">
      <c r="A4">
        <v>1459585</v>
      </c>
      <c r="B4" t="s">
        <v>55</v>
      </c>
      <c r="C4">
        <v>375</v>
      </c>
      <c r="D4" s="1">
        <v>0.91459999999999997</v>
      </c>
      <c r="E4" t="s">
        <v>146</v>
      </c>
      <c r="F4">
        <v>71.5</v>
      </c>
      <c r="G4">
        <v>48</v>
      </c>
      <c r="H4">
        <v>39.5</v>
      </c>
      <c r="I4" t="s">
        <v>1</v>
      </c>
      <c r="J4" t="s">
        <v>1</v>
      </c>
      <c r="K4" t="s">
        <v>1</v>
      </c>
      <c r="L4" t="s">
        <v>1</v>
      </c>
      <c r="M4">
        <v>56</v>
      </c>
      <c r="N4">
        <v>48</v>
      </c>
      <c r="O4">
        <v>60</v>
      </c>
      <c r="P4">
        <v>52</v>
      </c>
      <c r="Q4" t="s">
        <v>1</v>
      </c>
      <c r="R4" t="s">
        <v>1</v>
      </c>
      <c r="S4">
        <v>21</v>
      </c>
      <c r="T4">
        <v>28</v>
      </c>
    </row>
    <row r="5" spans="1:20">
      <c r="A5">
        <v>1459587</v>
      </c>
      <c r="B5" t="s">
        <v>57</v>
      </c>
      <c r="C5">
        <v>373</v>
      </c>
      <c r="D5" s="1">
        <v>0.90980000000000005</v>
      </c>
      <c r="E5" t="s">
        <v>146</v>
      </c>
      <c r="F5">
        <v>77.5</v>
      </c>
      <c r="G5">
        <v>49.5</v>
      </c>
      <c r="H5">
        <v>39.5</v>
      </c>
      <c r="I5" t="s">
        <v>1</v>
      </c>
      <c r="J5" t="s">
        <v>1</v>
      </c>
      <c r="K5" t="s">
        <v>1</v>
      </c>
      <c r="L5" t="s">
        <v>1</v>
      </c>
      <c r="M5">
        <v>48</v>
      </c>
      <c r="N5">
        <v>49.5</v>
      </c>
      <c r="O5">
        <v>57</v>
      </c>
      <c r="P5">
        <v>52</v>
      </c>
      <c r="Q5" t="s">
        <v>1</v>
      </c>
      <c r="R5" t="s">
        <v>1</v>
      </c>
      <c r="S5">
        <v>22</v>
      </c>
      <c r="T5">
        <v>36</v>
      </c>
    </row>
    <row r="6" spans="1:20">
      <c r="A6">
        <v>1459577</v>
      </c>
      <c r="B6" t="s">
        <v>47</v>
      </c>
      <c r="C6">
        <v>371.5</v>
      </c>
      <c r="D6" s="1">
        <v>0.90610000000000002</v>
      </c>
      <c r="E6" t="s">
        <v>146</v>
      </c>
      <c r="F6">
        <v>73.5</v>
      </c>
      <c r="G6">
        <v>47.5</v>
      </c>
      <c r="H6">
        <v>37.5</v>
      </c>
      <c r="I6" t="s">
        <v>1</v>
      </c>
      <c r="J6" t="s">
        <v>1</v>
      </c>
      <c r="K6" t="s">
        <v>1</v>
      </c>
      <c r="L6" t="s">
        <v>1</v>
      </c>
      <c r="M6">
        <v>54</v>
      </c>
      <c r="N6">
        <v>46</v>
      </c>
      <c r="O6">
        <v>58</v>
      </c>
      <c r="P6">
        <v>55</v>
      </c>
      <c r="Q6" t="s">
        <v>1</v>
      </c>
      <c r="R6" t="s">
        <v>1</v>
      </c>
      <c r="S6">
        <v>20</v>
      </c>
      <c r="T6">
        <v>40</v>
      </c>
    </row>
    <row r="7" spans="1:20">
      <c r="A7">
        <v>1459564</v>
      </c>
      <c r="B7" t="s">
        <v>34</v>
      </c>
      <c r="C7">
        <v>371</v>
      </c>
      <c r="D7" s="1">
        <v>0.90490000000000004</v>
      </c>
      <c r="E7" t="s">
        <v>146</v>
      </c>
      <c r="F7">
        <v>79.5</v>
      </c>
      <c r="G7">
        <v>48.5</v>
      </c>
      <c r="H7">
        <v>39.5</v>
      </c>
      <c r="I7" t="s">
        <v>1</v>
      </c>
      <c r="J7" t="s">
        <v>1</v>
      </c>
      <c r="K7" t="s">
        <v>1</v>
      </c>
      <c r="L7" t="s">
        <v>1</v>
      </c>
      <c r="M7">
        <v>55</v>
      </c>
      <c r="N7">
        <v>41.5</v>
      </c>
      <c r="O7">
        <v>58</v>
      </c>
      <c r="P7">
        <v>49</v>
      </c>
      <c r="Q7" t="s">
        <v>1</v>
      </c>
      <c r="R7" t="s">
        <v>1</v>
      </c>
      <c r="S7">
        <v>13</v>
      </c>
      <c r="T7">
        <v>27</v>
      </c>
    </row>
    <row r="8" spans="1:20">
      <c r="A8">
        <v>1459543</v>
      </c>
      <c r="B8" t="s">
        <v>13</v>
      </c>
      <c r="C8">
        <v>370.5</v>
      </c>
      <c r="D8" s="1">
        <v>0.90369999999999995</v>
      </c>
      <c r="E8" t="s">
        <v>146</v>
      </c>
      <c r="F8">
        <v>68.5</v>
      </c>
      <c r="G8">
        <v>47.5</v>
      </c>
      <c r="H8">
        <v>39.5</v>
      </c>
      <c r="I8">
        <v>54</v>
      </c>
      <c r="J8">
        <v>55</v>
      </c>
      <c r="K8">
        <v>54</v>
      </c>
      <c r="L8">
        <v>52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  <c r="S8">
        <v>21</v>
      </c>
      <c r="T8">
        <v>39</v>
      </c>
    </row>
    <row r="9" spans="1:20">
      <c r="A9">
        <v>1459589</v>
      </c>
      <c r="B9" t="s">
        <v>59</v>
      </c>
      <c r="C9">
        <v>362</v>
      </c>
      <c r="D9" s="1">
        <v>0.88290000000000002</v>
      </c>
      <c r="E9" t="s">
        <v>146</v>
      </c>
      <c r="F9">
        <v>74</v>
      </c>
      <c r="G9">
        <v>46.5</v>
      </c>
      <c r="H9">
        <v>39.5</v>
      </c>
      <c r="I9" t="s">
        <v>1</v>
      </c>
      <c r="J9" t="s">
        <v>1</v>
      </c>
      <c r="K9" t="s">
        <v>1</v>
      </c>
      <c r="L9" t="s">
        <v>1</v>
      </c>
      <c r="M9">
        <v>49.5</v>
      </c>
      <c r="N9">
        <v>47.5</v>
      </c>
      <c r="O9">
        <v>57</v>
      </c>
      <c r="P9">
        <v>48</v>
      </c>
      <c r="Q9" t="s">
        <v>1</v>
      </c>
      <c r="R9" t="s">
        <v>1</v>
      </c>
      <c r="S9">
        <v>22</v>
      </c>
      <c r="T9">
        <v>36</v>
      </c>
    </row>
    <row r="10" spans="1:20">
      <c r="A10">
        <v>1459612</v>
      </c>
      <c r="B10" t="s">
        <v>82</v>
      </c>
      <c r="C10">
        <v>356.5</v>
      </c>
      <c r="D10" s="1">
        <v>0.86950000000000005</v>
      </c>
      <c r="E10" t="s">
        <v>146</v>
      </c>
      <c r="F10">
        <v>73</v>
      </c>
      <c r="G10">
        <v>45</v>
      </c>
      <c r="H10">
        <v>38.5</v>
      </c>
      <c r="I10" t="s">
        <v>1</v>
      </c>
      <c r="J10" t="s">
        <v>1</v>
      </c>
      <c r="K10" t="s">
        <v>1</v>
      </c>
      <c r="L10" t="s">
        <v>1</v>
      </c>
      <c r="M10">
        <v>49</v>
      </c>
      <c r="N10">
        <v>46</v>
      </c>
      <c r="O10">
        <v>57</v>
      </c>
      <c r="P10">
        <v>48</v>
      </c>
      <c r="Q10" t="s">
        <v>1</v>
      </c>
      <c r="R10" t="s">
        <v>1</v>
      </c>
      <c r="S10">
        <v>22</v>
      </c>
      <c r="T10">
        <v>38</v>
      </c>
    </row>
    <row r="11" spans="1:20">
      <c r="A11">
        <v>1459535</v>
      </c>
      <c r="B11" t="s">
        <v>5</v>
      </c>
      <c r="C11">
        <v>344</v>
      </c>
      <c r="D11" s="1">
        <v>0.83899999999999997</v>
      </c>
      <c r="E11" t="s">
        <v>146</v>
      </c>
      <c r="F11">
        <v>67.5</v>
      </c>
      <c r="G11">
        <v>40.5</v>
      </c>
      <c r="H11">
        <v>36.5</v>
      </c>
      <c r="I11">
        <v>48</v>
      </c>
      <c r="J11">
        <v>53.5</v>
      </c>
      <c r="K11">
        <v>50</v>
      </c>
      <c r="L11">
        <v>48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>
        <v>17</v>
      </c>
      <c r="T11">
        <v>27</v>
      </c>
    </row>
    <row r="12" spans="1:20">
      <c r="A12">
        <v>1459578</v>
      </c>
      <c r="B12" t="s">
        <v>48</v>
      </c>
      <c r="C12">
        <v>340</v>
      </c>
      <c r="D12" s="1">
        <v>0.82930000000000004</v>
      </c>
      <c r="E12" t="s">
        <v>146</v>
      </c>
      <c r="F12">
        <v>69.5</v>
      </c>
      <c r="G12">
        <v>43.5</v>
      </c>
      <c r="H12">
        <v>39.5</v>
      </c>
      <c r="I12" t="s">
        <v>1</v>
      </c>
      <c r="J12" t="s">
        <v>1</v>
      </c>
      <c r="K12" t="s">
        <v>1</v>
      </c>
      <c r="L12" t="s">
        <v>1</v>
      </c>
      <c r="M12">
        <v>38</v>
      </c>
      <c r="N12">
        <v>48</v>
      </c>
      <c r="O12">
        <v>55</v>
      </c>
      <c r="P12">
        <v>46.5</v>
      </c>
      <c r="Q12" t="s">
        <v>1</v>
      </c>
      <c r="R12" t="s">
        <v>1</v>
      </c>
      <c r="S12">
        <v>15</v>
      </c>
      <c r="T12">
        <v>27</v>
      </c>
    </row>
    <row r="13" spans="1:20">
      <c r="A13">
        <v>1459561</v>
      </c>
      <c r="B13" t="s">
        <v>31</v>
      </c>
      <c r="C13">
        <v>339.5</v>
      </c>
      <c r="D13" s="1">
        <v>0.82799999999999996</v>
      </c>
      <c r="E13" t="s">
        <v>146</v>
      </c>
      <c r="F13">
        <v>77.5</v>
      </c>
      <c r="G13">
        <v>44.5</v>
      </c>
      <c r="H13">
        <v>38.5</v>
      </c>
      <c r="I13" t="s">
        <v>1</v>
      </c>
      <c r="J13" t="s">
        <v>1</v>
      </c>
      <c r="K13" t="s">
        <v>1</v>
      </c>
      <c r="L13" t="s">
        <v>1</v>
      </c>
      <c r="M13">
        <v>43</v>
      </c>
      <c r="N13">
        <v>35</v>
      </c>
      <c r="O13">
        <v>56</v>
      </c>
      <c r="P13">
        <v>45</v>
      </c>
      <c r="Q13" t="s">
        <v>1</v>
      </c>
      <c r="R13" t="s">
        <v>1</v>
      </c>
      <c r="S13">
        <v>20</v>
      </c>
      <c r="T13">
        <v>34</v>
      </c>
    </row>
    <row r="14" spans="1:20">
      <c r="A14">
        <v>1459576</v>
      </c>
      <c r="B14" t="s">
        <v>46</v>
      </c>
      <c r="C14">
        <v>338</v>
      </c>
      <c r="D14" s="1">
        <v>0.82440000000000002</v>
      </c>
      <c r="E14" t="s">
        <v>146</v>
      </c>
      <c r="F14">
        <v>61.5</v>
      </c>
      <c r="G14">
        <v>42</v>
      </c>
      <c r="H14">
        <v>39.5</v>
      </c>
      <c r="I14" t="s">
        <v>1</v>
      </c>
      <c r="J14" t="s">
        <v>1</v>
      </c>
      <c r="K14" t="s">
        <v>1</v>
      </c>
      <c r="L14" t="s">
        <v>1</v>
      </c>
      <c r="M14">
        <v>44</v>
      </c>
      <c r="N14">
        <v>46</v>
      </c>
      <c r="O14">
        <v>55.5</v>
      </c>
      <c r="P14">
        <v>49.5</v>
      </c>
      <c r="Q14" t="s">
        <v>1</v>
      </c>
      <c r="R14" t="s">
        <v>1</v>
      </c>
      <c r="S14">
        <v>17</v>
      </c>
      <c r="T14">
        <v>26</v>
      </c>
    </row>
    <row r="15" spans="1:20">
      <c r="A15">
        <v>1459636</v>
      </c>
      <c r="B15" t="s">
        <v>106</v>
      </c>
      <c r="C15">
        <v>335.5</v>
      </c>
      <c r="D15" s="1">
        <v>0.81830000000000003</v>
      </c>
      <c r="E15" t="s">
        <v>146</v>
      </c>
      <c r="F15">
        <v>73</v>
      </c>
      <c r="G15">
        <v>34.5</v>
      </c>
      <c r="H15">
        <v>39.5</v>
      </c>
      <c r="I15" t="s">
        <v>1</v>
      </c>
      <c r="J15" t="s">
        <v>1</v>
      </c>
      <c r="K15" t="s">
        <v>1</v>
      </c>
      <c r="L15" t="s">
        <v>1</v>
      </c>
      <c r="M15">
        <v>42.5</v>
      </c>
      <c r="N15">
        <v>47</v>
      </c>
      <c r="O15">
        <v>54</v>
      </c>
      <c r="P15">
        <v>45</v>
      </c>
      <c r="Q15" t="s">
        <v>1</v>
      </c>
      <c r="R15" t="s">
        <v>1</v>
      </c>
      <c r="S15">
        <v>22</v>
      </c>
      <c r="T15">
        <v>36</v>
      </c>
    </row>
    <row r="16" spans="1:20">
      <c r="A16">
        <v>1459563</v>
      </c>
      <c r="B16" t="s">
        <v>33</v>
      </c>
      <c r="C16">
        <v>334.5</v>
      </c>
      <c r="D16" s="1">
        <v>0.81589999999999996</v>
      </c>
      <c r="E16" t="s">
        <v>146</v>
      </c>
      <c r="F16">
        <v>73</v>
      </c>
      <c r="G16">
        <v>47.5</v>
      </c>
      <c r="H16">
        <v>35.5</v>
      </c>
      <c r="I16" t="s">
        <v>1</v>
      </c>
      <c r="J16" t="s">
        <v>1</v>
      </c>
      <c r="K16" t="s">
        <v>1</v>
      </c>
      <c r="L16" t="s">
        <v>1</v>
      </c>
      <c r="M16">
        <v>49</v>
      </c>
      <c r="N16">
        <v>33.5</v>
      </c>
      <c r="O16">
        <v>48</v>
      </c>
      <c r="P16">
        <v>48</v>
      </c>
      <c r="Q16" t="s">
        <v>1</v>
      </c>
      <c r="R16" t="s">
        <v>1</v>
      </c>
      <c r="S16">
        <v>16</v>
      </c>
      <c r="T16">
        <v>34</v>
      </c>
    </row>
    <row r="17" spans="1:20">
      <c r="A17">
        <v>1459591</v>
      </c>
      <c r="B17" t="s">
        <v>61</v>
      </c>
      <c r="C17">
        <v>333.5</v>
      </c>
      <c r="D17" s="1">
        <v>0.81340000000000001</v>
      </c>
      <c r="E17" t="s">
        <v>146</v>
      </c>
      <c r="F17">
        <v>72</v>
      </c>
      <c r="G17">
        <v>42</v>
      </c>
      <c r="H17">
        <v>37.5</v>
      </c>
      <c r="I17" t="s">
        <v>1</v>
      </c>
      <c r="J17" t="s">
        <v>1</v>
      </c>
      <c r="K17" t="s">
        <v>1</v>
      </c>
      <c r="L17" t="s">
        <v>1</v>
      </c>
      <c r="M17">
        <v>44</v>
      </c>
      <c r="N17">
        <v>44.5</v>
      </c>
      <c r="O17">
        <v>52</v>
      </c>
      <c r="P17">
        <v>41.5</v>
      </c>
      <c r="Q17" t="s">
        <v>1</v>
      </c>
      <c r="R17" t="s">
        <v>1</v>
      </c>
      <c r="S17">
        <v>17</v>
      </c>
      <c r="T17">
        <v>32</v>
      </c>
    </row>
    <row r="18" spans="1:20">
      <c r="A18">
        <v>1459581</v>
      </c>
      <c r="B18" t="s">
        <v>51</v>
      </c>
      <c r="C18">
        <v>329</v>
      </c>
      <c r="D18" s="1">
        <v>0.8024</v>
      </c>
      <c r="E18" t="s">
        <v>146</v>
      </c>
      <c r="F18">
        <v>69.5</v>
      </c>
      <c r="G18">
        <v>32.5</v>
      </c>
      <c r="H18">
        <v>38</v>
      </c>
      <c r="I18" t="s">
        <v>1</v>
      </c>
      <c r="J18" t="s">
        <v>1</v>
      </c>
      <c r="K18" t="s">
        <v>1</v>
      </c>
      <c r="L18" t="s">
        <v>1</v>
      </c>
      <c r="M18">
        <v>48.5</v>
      </c>
      <c r="N18">
        <v>43.5</v>
      </c>
      <c r="O18">
        <v>54.5</v>
      </c>
      <c r="P18">
        <v>42.5</v>
      </c>
      <c r="Q18" t="s">
        <v>1</v>
      </c>
      <c r="R18" t="s">
        <v>1</v>
      </c>
      <c r="S18">
        <v>20</v>
      </c>
      <c r="T18">
        <v>33</v>
      </c>
    </row>
    <row r="19" spans="1:20">
      <c r="A19">
        <v>1459629</v>
      </c>
      <c r="B19" t="s">
        <v>99</v>
      </c>
      <c r="C19">
        <v>326</v>
      </c>
      <c r="D19" s="1">
        <v>0.79510000000000003</v>
      </c>
      <c r="E19" t="s">
        <v>146</v>
      </c>
      <c r="F19">
        <v>72.5</v>
      </c>
      <c r="G19">
        <v>49</v>
      </c>
      <c r="H19">
        <v>39.5</v>
      </c>
      <c r="I19" t="s">
        <v>1</v>
      </c>
      <c r="J19" t="s">
        <v>1</v>
      </c>
      <c r="K19" t="s">
        <v>1</v>
      </c>
      <c r="L19" t="s">
        <v>1</v>
      </c>
      <c r="M19">
        <v>37</v>
      </c>
      <c r="N19">
        <v>47</v>
      </c>
      <c r="O19">
        <v>51</v>
      </c>
      <c r="P19">
        <v>30</v>
      </c>
      <c r="Q19" t="s">
        <v>1</v>
      </c>
      <c r="R19" t="s">
        <v>1</v>
      </c>
      <c r="S19">
        <v>21</v>
      </c>
      <c r="T19">
        <v>27</v>
      </c>
    </row>
    <row r="20" spans="1:20">
      <c r="A20">
        <v>1459604</v>
      </c>
      <c r="B20" t="s">
        <v>74</v>
      </c>
      <c r="C20">
        <v>324.5</v>
      </c>
      <c r="D20" s="1">
        <v>0.79149999999999998</v>
      </c>
      <c r="E20" t="s">
        <v>146</v>
      </c>
      <c r="F20">
        <v>69.5</v>
      </c>
      <c r="G20">
        <v>47</v>
      </c>
      <c r="H20">
        <v>39</v>
      </c>
      <c r="I20" t="s">
        <v>1</v>
      </c>
      <c r="J20" t="s">
        <v>1</v>
      </c>
      <c r="K20" t="s">
        <v>1</v>
      </c>
      <c r="L20" t="s">
        <v>1</v>
      </c>
      <c r="M20">
        <v>39.5</v>
      </c>
      <c r="N20">
        <v>41.5</v>
      </c>
      <c r="O20">
        <v>51.5</v>
      </c>
      <c r="P20">
        <v>36.5</v>
      </c>
      <c r="Q20" t="s">
        <v>1</v>
      </c>
      <c r="R20" t="s">
        <v>1</v>
      </c>
      <c r="S20">
        <v>20</v>
      </c>
      <c r="T20">
        <v>34</v>
      </c>
    </row>
    <row r="21" spans="1:20">
      <c r="A21">
        <v>1459584</v>
      </c>
      <c r="B21" t="s">
        <v>54</v>
      </c>
      <c r="C21">
        <v>323.5</v>
      </c>
      <c r="D21" s="1">
        <v>0.78900000000000003</v>
      </c>
      <c r="E21" t="s">
        <v>146</v>
      </c>
      <c r="F21">
        <v>63</v>
      </c>
      <c r="G21">
        <v>44</v>
      </c>
      <c r="H21">
        <v>37</v>
      </c>
      <c r="I21" t="s">
        <v>1</v>
      </c>
      <c r="J21" t="s">
        <v>1</v>
      </c>
      <c r="K21" t="s">
        <v>1</v>
      </c>
      <c r="L21" t="s">
        <v>1</v>
      </c>
      <c r="M21">
        <v>40.5</v>
      </c>
      <c r="N21">
        <v>39.5</v>
      </c>
      <c r="O21">
        <v>59</v>
      </c>
      <c r="P21">
        <v>40.5</v>
      </c>
      <c r="Q21" t="s">
        <v>1</v>
      </c>
      <c r="R21" t="s">
        <v>1</v>
      </c>
      <c r="S21">
        <v>22</v>
      </c>
      <c r="T21">
        <v>29</v>
      </c>
    </row>
    <row r="22" spans="1:20">
      <c r="A22">
        <v>1459601</v>
      </c>
      <c r="B22" t="s">
        <v>71</v>
      </c>
      <c r="C22">
        <v>322.5</v>
      </c>
      <c r="D22" s="1">
        <v>0.78659999999999997</v>
      </c>
      <c r="E22" t="s">
        <v>146</v>
      </c>
      <c r="F22">
        <v>69</v>
      </c>
      <c r="G22">
        <v>42.5</v>
      </c>
      <c r="H22">
        <v>39.5</v>
      </c>
      <c r="I22" t="s">
        <v>1</v>
      </c>
      <c r="J22" t="s">
        <v>1</v>
      </c>
      <c r="K22" t="s">
        <v>1</v>
      </c>
      <c r="L22" t="s">
        <v>1</v>
      </c>
      <c r="M22">
        <v>35.5</v>
      </c>
      <c r="N22">
        <v>39</v>
      </c>
      <c r="O22">
        <v>54</v>
      </c>
      <c r="P22">
        <v>43</v>
      </c>
      <c r="Q22" t="s">
        <v>1</v>
      </c>
      <c r="R22" t="s">
        <v>1</v>
      </c>
      <c r="S22">
        <v>22</v>
      </c>
      <c r="T22">
        <v>30</v>
      </c>
    </row>
    <row r="23" spans="1:20">
      <c r="A23">
        <v>1459537</v>
      </c>
      <c r="B23" t="s">
        <v>7</v>
      </c>
      <c r="C23">
        <v>322</v>
      </c>
      <c r="D23" s="1">
        <v>0.78539999999999999</v>
      </c>
      <c r="E23" t="s">
        <v>146</v>
      </c>
      <c r="F23">
        <v>52.5</v>
      </c>
      <c r="G23">
        <v>36</v>
      </c>
      <c r="H23">
        <v>37.5</v>
      </c>
      <c r="I23">
        <v>48.5</v>
      </c>
      <c r="J23">
        <v>48.5</v>
      </c>
      <c r="K23">
        <v>50</v>
      </c>
      <c r="L23">
        <v>49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  <c r="S23">
        <v>18</v>
      </c>
      <c r="T23">
        <v>26</v>
      </c>
    </row>
    <row r="24" spans="1:20">
      <c r="A24">
        <v>1459571</v>
      </c>
      <c r="B24" t="s">
        <v>41</v>
      </c>
      <c r="C24">
        <v>322</v>
      </c>
      <c r="D24" s="1">
        <v>0.78539999999999999</v>
      </c>
      <c r="E24" t="s">
        <v>146</v>
      </c>
      <c r="F24">
        <v>63</v>
      </c>
      <c r="G24">
        <v>37.5</v>
      </c>
      <c r="H24">
        <v>39.5</v>
      </c>
      <c r="I24" t="s">
        <v>1</v>
      </c>
      <c r="J24" t="s">
        <v>1</v>
      </c>
      <c r="K24" t="s">
        <v>1</v>
      </c>
      <c r="L24" t="s">
        <v>1</v>
      </c>
      <c r="M24">
        <v>41.5</v>
      </c>
      <c r="N24">
        <v>41</v>
      </c>
      <c r="O24">
        <v>53</v>
      </c>
      <c r="P24">
        <v>46.5</v>
      </c>
      <c r="Q24" t="s">
        <v>1</v>
      </c>
      <c r="R24" t="s">
        <v>1</v>
      </c>
      <c r="S24">
        <v>21</v>
      </c>
      <c r="T24">
        <v>34</v>
      </c>
    </row>
    <row r="25" spans="1:20">
      <c r="A25">
        <v>1459611</v>
      </c>
      <c r="B25" t="s">
        <v>81</v>
      </c>
      <c r="C25">
        <v>322</v>
      </c>
      <c r="D25" s="1">
        <v>0.78539999999999999</v>
      </c>
      <c r="E25" t="s">
        <v>146</v>
      </c>
      <c r="F25">
        <v>69</v>
      </c>
      <c r="G25">
        <v>36</v>
      </c>
      <c r="H25">
        <v>38.5</v>
      </c>
      <c r="I25" t="s">
        <v>1</v>
      </c>
      <c r="J25" t="s">
        <v>1</v>
      </c>
      <c r="K25" t="s">
        <v>1</v>
      </c>
      <c r="L25" t="s">
        <v>1</v>
      </c>
      <c r="M25">
        <v>42</v>
      </c>
      <c r="N25">
        <v>46.5</v>
      </c>
      <c r="O25">
        <v>51.5</v>
      </c>
      <c r="P25">
        <v>38.5</v>
      </c>
      <c r="Q25" t="s">
        <v>1</v>
      </c>
      <c r="R25" t="s">
        <v>1</v>
      </c>
      <c r="S25">
        <v>22</v>
      </c>
      <c r="T25">
        <v>38</v>
      </c>
    </row>
    <row r="26" spans="1:20">
      <c r="A26">
        <v>1459624</v>
      </c>
      <c r="B26" t="s">
        <v>94</v>
      </c>
      <c r="C26">
        <v>322</v>
      </c>
      <c r="D26" s="1">
        <v>0.78539999999999999</v>
      </c>
      <c r="E26" t="s">
        <v>146</v>
      </c>
      <c r="F26">
        <v>74.5</v>
      </c>
      <c r="G26">
        <v>44</v>
      </c>
      <c r="H26">
        <v>39.5</v>
      </c>
      <c r="I26" t="s">
        <v>1</v>
      </c>
      <c r="J26" t="s">
        <v>1</v>
      </c>
      <c r="K26" t="s">
        <v>1</v>
      </c>
      <c r="L26" t="s">
        <v>1</v>
      </c>
      <c r="M26">
        <v>40.5</v>
      </c>
      <c r="N26">
        <v>43.5</v>
      </c>
      <c r="O26">
        <v>49</v>
      </c>
      <c r="P26">
        <v>31</v>
      </c>
      <c r="Q26" t="s">
        <v>1</v>
      </c>
      <c r="R26" t="s">
        <v>1</v>
      </c>
      <c r="S26">
        <v>23</v>
      </c>
      <c r="T26">
        <v>39</v>
      </c>
    </row>
    <row r="27" spans="1:20">
      <c r="A27">
        <v>1459541</v>
      </c>
      <c r="B27" t="s">
        <v>11</v>
      </c>
      <c r="C27">
        <v>319.5</v>
      </c>
      <c r="D27" s="1">
        <v>0.77929999999999999</v>
      </c>
      <c r="E27" t="s">
        <v>146</v>
      </c>
      <c r="F27">
        <v>59.5</v>
      </c>
      <c r="G27">
        <v>38</v>
      </c>
      <c r="H27">
        <v>37.5</v>
      </c>
      <c r="I27">
        <v>48</v>
      </c>
      <c r="J27">
        <v>45.5</v>
      </c>
      <c r="K27">
        <v>44</v>
      </c>
      <c r="L27">
        <v>47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  <c r="S27">
        <v>16</v>
      </c>
      <c r="T27">
        <v>25</v>
      </c>
    </row>
    <row r="28" spans="1:20">
      <c r="A28">
        <v>1459582</v>
      </c>
      <c r="B28" t="s">
        <v>52</v>
      </c>
      <c r="C28">
        <v>317</v>
      </c>
      <c r="D28" s="1">
        <v>0.7732</v>
      </c>
      <c r="E28" t="s">
        <v>146</v>
      </c>
      <c r="F28">
        <v>64</v>
      </c>
      <c r="G28">
        <v>31</v>
      </c>
      <c r="H28">
        <v>38.5</v>
      </c>
      <c r="I28" t="s">
        <v>1</v>
      </c>
      <c r="J28" t="s">
        <v>1</v>
      </c>
      <c r="K28" t="s">
        <v>1</v>
      </c>
      <c r="L28" t="s">
        <v>1</v>
      </c>
      <c r="M28">
        <v>46.5</v>
      </c>
      <c r="N28">
        <v>39</v>
      </c>
      <c r="O28">
        <v>52.5</v>
      </c>
      <c r="P28">
        <v>45.5</v>
      </c>
      <c r="Q28" t="s">
        <v>1</v>
      </c>
      <c r="R28" t="s">
        <v>1</v>
      </c>
      <c r="S28">
        <v>20</v>
      </c>
      <c r="T28">
        <v>34</v>
      </c>
    </row>
    <row r="29" spans="1:20">
      <c r="A29">
        <v>1459606</v>
      </c>
      <c r="B29" t="s">
        <v>76</v>
      </c>
      <c r="C29">
        <v>317</v>
      </c>
      <c r="D29" s="1">
        <v>0.7732</v>
      </c>
      <c r="E29" t="s">
        <v>146</v>
      </c>
      <c r="F29">
        <v>48.5</v>
      </c>
      <c r="G29">
        <v>44</v>
      </c>
      <c r="H29">
        <v>39.5</v>
      </c>
      <c r="I29" t="s">
        <v>1</v>
      </c>
      <c r="J29" t="s">
        <v>1</v>
      </c>
      <c r="K29" t="s">
        <v>1</v>
      </c>
      <c r="L29" t="s">
        <v>1</v>
      </c>
      <c r="M29">
        <v>45</v>
      </c>
      <c r="N29">
        <v>45</v>
      </c>
      <c r="O29">
        <v>48</v>
      </c>
      <c r="P29">
        <v>47</v>
      </c>
      <c r="Q29" t="s">
        <v>1</v>
      </c>
      <c r="R29" t="s">
        <v>1</v>
      </c>
      <c r="S29">
        <v>20</v>
      </c>
      <c r="T29">
        <v>29</v>
      </c>
    </row>
    <row r="30" spans="1:20">
      <c r="A30">
        <v>1459588</v>
      </c>
      <c r="B30" t="s">
        <v>58</v>
      </c>
      <c r="C30">
        <v>315.5</v>
      </c>
      <c r="D30" s="1">
        <v>0.76949999999999996</v>
      </c>
      <c r="E30" t="s">
        <v>146</v>
      </c>
      <c r="F30">
        <v>67.5</v>
      </c>
      <c r="G30">
        <v>44.5</v>
      </c>
      <c r="H30">
        <v>39.5</v>
      </c>
      <c r="I30" t="s">
        <v>1</v>
      </c>
      <c r="J30" t="s">
        <v>1</v>
      </c>
      <c r="K30" t="s">
        <v>1</v>
      </c>
      <c r="L30" t="s">
        <v>1</v>
      </c>
      <c r="M30">
        <v>33.5</v>
      </c>
      <c r="N30">
        <v>37.5</v>
      </c>
      <c r="O30">
        <v>51</v>
      </c>
      <c r="P30">
        <v>42</v>
      </c>
      <c r="Q30" t="s">
        <v>1</v>
      </c>
      <c r="R30" t="s">
        <v>1</v>
      </c>
      <c r="S30">
        <v>19</v>
      </c>
      <c r="T30">
        <v>31</v>
      </c>
    </row>
    <row r="31" spans="1:20">
      <c r="A31">
        <v>1459566</v>
      </c>
      <c r="B31" t="s">
        <v>36</v>
      </c>
      <c r="C31">
        <v>315</v>
      </c>
      <c r="D31" s="1">
        <v>0.76829999999999998</v>
      </c>
      <c r="E31" t="s">
        <v>146</v>
      </c>
      <c r="F31">
        <v>68.5</v>
      </c>
      <c r="G31">
        <v>47.5</v>
      </c>
      <c r="H31">
        <v>39.5</v>
      </c>
      <c r="I31" t="s">
        <v>1</v>
      </c>
      <c r="J31" t="s">
        <v>1</v>
      </c>
      <c r="K31" t="s">
        <v>1</v>
      </c>
      <c r="L31" t="s">
        <v>1</v>
      </c>
      <c r="M31">
        <v>41.5</v>
      </c>
      <c r="N31">
        <v>32.5</v>
      </c>
      <c r="O31">
        <v>47</v>
      </c>
      <c r="P31">
        <v>38.5</v>
      </c>
      <c r="Q31" t="s">
        <v>1</v>
      </c>
      <c r="R31" t="s">
        <v>1</v>
      </c>
      <c r="S31">
        <v>13</v>
      </c>
      <c r="T31">
        <v>39</v>
      </c>
    </row>
    <row r="32" spans="1:20">
      <c r="A32">
        <v>1459596</v>
      </c>
      <c r="B32" t="s">
        <v>66</v>
      </c>
      <c r="C32">
        <v>313.5</v>
      </c>
      <c r="D32" s="1">
        <v>0.76459999999999995</v>
      </c>
      <c r="E32" t="s">
        <v>146</v>
      </c>
      <c r="F32">
        <v>65.5</v>
      </c>
      <c r="G32">
        <v>41</v>
      </c>
      <c r="H32">
        <v>39.5</v>
      </c>
      <c r="I32" t="s">
        <v>1</v>
      </c>
      <c r="J32" t="s">
        <v>1</v>
      </c>
      <c r="K32" t="s">
        <v>1</v>
      </c>
      <c r="L32" t="s">
        <v>1</v>
      </c>
      <c r="M32">
        <v>37</v>
      </c>
      <c r="N32">
        <v>43</v>
      </c>
      <c r="O32">
        <v>49</v>
      </c>
      <c r="P32">
        <v>38.5</v>
      </c>
      <c r="Q32" t="s">
        <v>1</v>
      </c>
      <c r="R32" t="s">
        <v>1</v>
      </c>
      <c r="S32">
        <v>20</v>
      </c>
      <c r="T32">
        <v>33</v>
      </c>
    </row>
    <row r="33" spans="1:20">
      <c r="A33">
        <v>1459567</v>
      </c>
      <c r="B33" t="s">
        <v>37</v>
      </c>
      <c r="C33">
        <v>311.5</v>
      </c>
      <c r="D33" s="1">
        <v>0.75980000000000003</v>
      </c>
      <c r="E33" t="s">
        <v>146</v>
      </c>
      <c r="F33">
        <v>58</v>
      </c>
      <c r="G33">
        <v>47.5</v>
      </c>
      <c r="H33">
        <v>34</v>
      </c>
      <c r="I33" t="s">
        <v>1</v>
      </c>
      <c r="J33" t="s">
        <v>1</v>
      </c>
      <c r="K33" t="s">
        <v>1</v>
      </c>
      <c r="L33" t="s">
        <v>1</v>
      </c>
      <c r="M33">
        <v>46</v>
      </c>
      <c r="N33">
        <v>44</v>
      </c>
      <c r="O33">
        <v>40</v>
      </c>
      <c r="P33">
        <v>42</v>
      </c>
      <c r="Q33" t="s">
        <v>1</v>
      </c>
      <c r="R33" t="s">
        <v>1</v>
      </c>
      <c r="S33">
        <v>19</v>
      </c>
      <c r="T33">
        <v>33</v>
      </c>
    </row>
    <row r="34" spans="1:20">
      <c r="A34">
        <v>1459565</v>
      </c>
      <c r="B34" t="s">
        <v>35</v>
      </c>
      <c r="C34">
        <v>311</v>
      </c>
      <c r="D34" s="1">
        <v>0.75849999999999995</v>
      </c>
      <c r="E34" t="s">
        <v>146</v>
      </c>
      <c r="F34">
        <v>65.5</v>
      </c>
      <c r="G34">
        <v>45</v>
      </c>
      <c r="H34">
        <v>39.5</v>
      </c>
      <c r="I34" t="s">
        <v>1</v>
      </c>
      <c r="J34" t="s">
        <v>1</v>
      </c>
      <c r="K34" t="s">
        <v>1</v>
      </c>
      <c r="L34" t="s">
        <v>1</v>
      </c>
      <c r="M34">
        <v>38</v>
      </c>
      <c r="N34">
        <v>33.5</v>
      </c>
      <c r="O34">
        <v>46</v>
      </c>
      <c r="P34">
        <v>43.5</v>
      </c>
      <c r="Q34" t="s">
        <v>1</v>
      </c>
      <c r="R34" t="s">
        <v>1</v>
      </c>
      <c r="S34">
        <v>19</v>
      </c>
      <c r="T34">
        <v>30</v>
      </c>
    </row>
    <row r="35" spans="1:20">
      <c r="A35">
        <v>1459617</v>
      </c>
      <c r="B35" t="s">
        <v>87</v>
      </c>
      <c r="C35">
        <v>311</v>
      </c>
      <c r="D35" s="1">
        <v>0.75849999999999995</v>
      </c>
      <c r="E35" t="s">
        <v>146</v>
      </c>
      <c r="F35">
        <v>72</v>
      </c>
      <c r="G35">
        <v>44</v>
      </c>
      <c r="H35">
        <v>39</v>
      </c>
      <c r="I35" t="s">
        <v>1</v>
      </c>
      <c r="J35" t="s">
        <v>1</v>
      </c>
      <c r="K35" t="s">
        <v>1</v>
      </c>
      <c r="L35" t="s">
        <v>1</v>
      </c>
      <c r="M35">
        <v>30</v>
      </c>
      <c r="N35">
        <v>44.5</v>
      </c>
      <c r="O35">
        <v>51.5</v>
      </c>
      <c r="P35">
        <v>30</v>
      </c>
      <c r="Q35" t="s">
        <v>1</v>
      </c>
      <c r="R35" t="s">
        <v>1</v>
      </c>
      <c r="S35">
        <v>19</v>
      </c>
      <c r="T35">
        <v>28</v>
      </c>
    </row>
    <row r="36" spans="1:20">
      <c r="A36">
        <v>1459651</v>
      </c>
      <c r="B36" t="s">
        <v>122</v>
      </c>
      <c r="C36">
        <v>311</v>
      </c>
      <c r="D36" s="1">
        <v>0.75849999999999995</v>
      </c>
      <c r="E36" t="s">
        <v>146</v>
      </c>
      <c r="F36">
        <v>68</v>
      </c>
      <c r="G36">
        <v>41</v>
      </c>
      <c r="H36">
        <v>37.5</v>
      </c>
      <c r="I36" t="s">
        <v>1</v>
      </c>
      <c r="J36" t="s">
        <v>1</v>
      </c>
      <c r="K36" t="s">
        <v>1</v>
      </c>
      <c r="L36" t="s">
        <v>1</v>
      </c>
      <c r="M36">
        <v>30</v>
      </c>
      <c r="N36" t="s">
        <v>1</v>
      </c>
      <c r="O36" t="s">
        <v>1</v>
      </c>
      <c r="P36">
        <v>43.5</v>
      </c>
      <c r="Q36">
        <v>48.5</v>
      </c>
      <c r="R36">
        <v>42.5</v>
      </c>
      <c r="S36">
        <v>19</v>
      </c>
      <c r="T36">
        <v>33</v>
      </c>
    </row>
    <row r="37" spans="1:20">
      <c r="A37">
        <v>1459615</v>
      </c>
      <c r="B37" t="s">
        <v>85</v>
      </c>
      <c r="C37">
        <v>310</v>
      </c>
      <c r="D37" s="1">
        <v>0.75609999999999999</v>
      </c>
      <c r="E37" t="s">
        <v>146</v>
      </c>
      <c r="F37">
        <v>66</v>
      </c>
      <c r="G37">
        <v>35</v>
      </c>
      <c r="H37">
        <v>39</v>
      </c>
      <c r="I37" t="s">
        <v>1</v>
      </c>
      <c r="J37" t="s">
        <v>1</v>
      </c>
      <c r="K37" t="s">
        <v>1</v>
      </c>
      <c r="L37" t="s">
        <v>1</v>
      </c>
      <c r="M37">
        <v>40</v>
      </c>
      <c r="N37">
        <v>49</v>
      </c>
      <c r="O37">
        <v>50</v>
      </c>
      <c r="P37">
        <v>31</v>
      </c>
      <c r="Q37" t="s">
        <v>1</v>
      </c>
      <c r="R37" t="s">
        <v>1</v>
      </c>
      <c r="S37">
        <v>19</v>
      </c>
      <c r="T37">
        <v>40</v>
      </c>
    </row>
    <row r="38" spans="1:20">
      <c r="A38">
        <v>1459545</v>
      </c>
      <c r="B38" t="s">
        <v>15</v>
      </c>
      <c r="C38">
        <v>309.5</v>
      </c>
      <c r="D38" s="1">
        <v>0.75490000000000002</v>
      </c>
      <c r="E38" t="s">
        <v>146</v>
      </c>
      <c r="F38">
        <v>60</v>
      </c>
      <c r="G38">
        <v>42.5</v>
      </c>
      <c r="H38">
        <v>38.5</v>
      </c>
      <c r="I38">
        <v>42.5</v>
      </c>
      <c r="J38">
        <v>45</v>
      </c>
      <c r="K38">
        <v>42</v>
      </c>
      <c r="L38">
        <v>39</v>
      </c>
      <c r="M38" t="s">
        <v>1</v>
      </c>
      <c r="N38" t="s">
        <v>1</v>
      </c>
      <c r="O38" t="s">
        <v>1</v>
      </c>
      <c r="P38" t="s">
        <v>1</v>
      </c>
      <c r="Q38" t="s">
        <v>1</v>
      </c>
      <c r="R38" t="s">
        <v>1</v>
      </c>
      <c r="S38">
        <v>19</v>
      </c>
      <c r="T38">
        <v>26</v>
      </c>
    </row>
    <row r="39" spans="1:20">
      <c r="A39">
        <v>1459627</v>
      </c>
      <c r="B39" t="s">
        <v>97</v>
      </c>
      <c r="C39">
        <v>309</v>
      </c>
      <c r="D39" s="1">
        <v>0.75370000000000004</v>
      </c>
      <c r="E39" t="s">
        <v>146</v>
      </c>
      <c r="F39">
        <v>71</v>
      </c>
      <c r="G39">
        <v>40</v>
      </c>
      <c r="H39">
        <v>39.5</v>
      </c>
      <c r="I39" t="s">
        <v>1</v>
      </c>
      <c r="J39" t="s">
        <v>1</v>
      </c>
      <c r="K39" t="s">
        <v>1</v>
      </c>
      <c r="L39" t="s">
        <v>1</v>
      </c>
      <c r="M39">
        <v>30</v>
      </c>
      <c r="N39">
        <v>43.5</v>
      </c>
      <c r="O39">
        <v>55</v>
      </c>
      <c r="P39">
        <v>30</v>
      </c>
      <c r="Q39" t="s">
        <v>1</v>
      </c>
      <c r="R39" t="s">
        <v>1</v>
      </c>
      <c r="S39">
        <v>22</v>
      </c>
      <c r="T39">
        <v>35</v>
      </c>
    </row>
    <row r="40" spans="1:20">
      <c r="A40">
        <v>1459594</v>
      </c>
      <c r="B40" t="s">
        <v>64</v>
      </c>
      <c r="C40">
        <v>306.5</v>
      </c>
      <c r="D40" s="1">
        <v>0.74760000000000004</v>
      </c>
      <c r="E40" t="s">
        <v>146</v>
      </c>
      <c r="F40">
        <v>61</v>
      </c>
      <c r="G40">
        <v>39</v>
      </c>
      <c r="H40">
        <v>34.5</v>
      </c>
      <c r="I40" t="s">
        <v>1</v>
      </c>
      <c r="J40" t="s">
        <v>1</v>
      </c>
      <c r="K40" t="s">
        <v>1</v>
      </c>
      <c r="L40" t="s">
        <v>1</v>
      </c>
      <c r="M40">
        <v>44</v>
      </c>
      <c r="N40">
        <v>45</v>
      </c>
      <c r="O40">
        <v>45.5</v>
      </c>
      <c r="P40">
        <v>37.5</v>
      </c>
      <c r="Q40" t="s">
        <v>1</v>
      </c>
      <c r="R40" t="s">
        <v>1</v>
      </c>
      <c r="S40">
        <v>20</v>
      </c>
      <c r="T40">
        <v>29</v>
      </c>
    </row>
    <row r="41" spans="1:20">
      <c r="A41">
        <v>1459575</v>
      </c>
      <c r="B41" t="s">
        <v>45</v>
      </c>
      <c r="C41">
        <v>305.5</v>
      </c>
      <c r="D41" s="1">
        <v>0.74509999999999998</v>
      </c>
      <c r="E41" t="s">
        <v>146</v>
      </c>
      <c r="F41">
        <v>61</v>
      </c>
      <c r="G41">
        <v>34</v>
      </c>
      <c r="H41">
        <v>38.5</v>
      </c>
      <c r="I41" t="s">
        <v>1</v>
      </c>
      <c r="J41" t="s">
        <v>1</v>
      </c>
      <c r="K41" t="s">
        <v>1</v>
      </c>
      <c r="L41" t="s">
        <v>1</v>
      </c>
      <c r="M41">
        <v>39.5</v>
      </c>
      <c r="N41">
        <v>43</v>
      </c>
      <c r="O41">
        <v>52.5</v>
      </c>
      <c r="P41">
        <v>37</v>
      </c>
      <c r="Q41" t="s">
        <v>1</v>
      </c>
      <c r="R41" t="s">
        <v>1</v>
      </c>
      <c r="S41">
        <v>18</v>
      </c>
      <c r="T41">
        <v>25</v>
      </c>
    </row>
    <row r="42" spans="1:20">
      <c r="A42">
        <v>1459569</v>
      </c>
      <c r="B42" t="s">
        <v>39</v>
      </c>
      <c r="C42">
        <v>304.5</v>
      </c>
      <c r="D42" s="1">
        <v>0.74270000000000003</v>
      </c>
      <c r="E42" t="s">
        <v>146</v>
      </c>
      <c r="F42">
        <v>69.5</v>
      </c>
      <c r="G42">
        <v>37.5</v>
      </c>
      <c r="H42">
        <v>35.5</v>
      </c>
      <c r="I42" t="s">
        <v>1</v>
      </c>
      <c r="J42" t="s">
        <v>1</v>
      </c>
      <c r="K42" t="s">
        <v>1</v>
      </c>
      <c r="L42" t="s">
        <v>1</v>
      </c>
      <c r="M42">
        <v>44</v>
      </c>
      <c r="N42">
        <v>30</v>
      </c>
      <c r="O42">
        <v>51</v>
      </c>
      <c r="P42">
        <v>37</v>
      </c>
      <c r="Q42" t="s">
        <v>1</v>
      </c>
      <c r="R42" t="s">
        <v>1</v>
      </c>
      <c r="S42">
        <v>18</v>
      </c>
      <c r="T42">
        <v>29</v>
      </c>
    </row>
    <row r="43" spans="1:20">
      <c r="A43">
        <v>1459646</v>
      </c>
      <c r="B43" t="s">
        <v>116</v>
      </c>
      <c r="C43">
        <v>304</v>
      </c>
      <c r="D43" s="1">
        <v>0.74150000000000005</v>
      </c>
      <c r="E43" t="s">
        <v>146</v>
      </c>
      <c r="F43">
        <v>70.5</v>
      </c>
      <c r="G43">
        <v>41</v>
      </c>
      <c r="H43">
        <v>37</v>
      </c>
      <c r="I43" t="s">
        <v>1</v>
      </c>
      <c r="J43" t="s">
        <v>1</v>
      </c>
      <c r="K43" t="s">
        <v>1</v>
      </c>
      <c r="L43" t="s">
        <v>1</v>
      </c>
      <c r="M43">
        <v>30</v>
      </c>
      <c r="N43">
        <v>40</v>
      </c>
      <c r="O43">
        <v>55.5</v>
      </c>
      <c r="P43">
        <v>30</v>
      </c>
      <c r="Q43" t="s">
        <v>1</v>
      </c>
      <c r="R43" t="s">
        <v>1</v>
      </c>
      <c r="S43">
        <v>19</v>
      </c>
      <c r="T43">
        <v>27</v>
      </c>
    </row>
    <row r="44" spans="1:20">
      <c r="A44">
        <v>1459603</v>
      </c>
      <c r="B44" t="s">
        <v>73</v>
      </c>
      <c r="C44">
        <v>303.5</v>
      </c>
      <c r="D44" s="1">
        <v>0.74019999999999997</v>
      </c>
      <c r="E44" t="s">
        <v>146</v>
      </c>
      <c r="F44">
        <v>40.5</v>
      </c>
      <c r="G44">
        <v>40</v>
      </c>
      <c r="H44">
        <v>30.5</v>
      </c>
      <c r="I44" t="s">
        <v>1</v>
      </c>
      <c r="J44" t="s">
        <v>1</v>
      </c>
      <c r="K44" t="s">
        <v>1</v>
      </c>
      <c r="L44" t="s">
        <v>1</v>
      </c>
      <c r="M44">
        <v>51</v>
      </c>
      <c r="N44">
        <v>46</v>
      </c>
      <c r="O44">
        <v>47.5</v>
      </c>
      <c r="P44">
        <v>48</v>
      </c>
      <c r="Q44" t="s">
        <v>1</v>
      </c>
      <c r="R44" t="s">
        <v>1</v>
      </c>
      <c r="S44">
        <v>20</v>
      </c>
      <c r="T44">
        <v>30</v>
      </c>
    </row>
    <row r="45" spans="1:20">
      <c r="A45">
        <v>1459638</v>
      </c>
      <c r="B45" t="s">
        <v>108</v>
      </c>
      <c r="C45">
        <v>303.5</v>
      </c>
      <c r="D45" s="1">
        <v>0.74019999999999997</v>
      </c>
      <c r="E45" t="s">
        <v>146</v>
      </c>
      <c r="F45">
        <v>62</v>
      </c>
      <c r="G45">
        <v>36</v>
      </c>
      <c r="H45">
        <v>39.5</v>
      </c>
      <c r="I45" t="s">
        <v>1</v>
      </c>
      <c r="J45" t="s">
        <v>1</v>
      </c>
      <c r="K45" t="s">
        <v>1</v>
      </c>
      <c r="L45" t="s">
        <v>1</v>
      </c>
      <c r="M45">
        <v>41.5</v>
      </c>
      <c r="N45">
        <v>37.5</v>
      </c>
      <c r="O45">
        <v>51</v>
      </c>
      <c r="P45">
        <v>36</v>
      </c>
      <c r="Q45" t="s">
        <v>1</v>
      </c>
      <c r="R45" t="s">
        <v>1</v>
      </c>
      <c r="S45">
        <v>21</v>
      </c>
      <c r="T45">
        <v>32</v>
      </c>
    </row>
    <row r="46" spans="1:20">
      <c r="A46">
        <v>1459597</v>
      </c>
      <c r="B46" t="s">
        <v>67</v>
      </c>
      <c r="C46">
        <v>302.5</v>
      </c>
      <c r="D46" s="1">
        <v>0.73780000000000001</v>
      </c>
      <c r="E46" t="s">
        <v>146</v>
      </c>
      <c r="F46">
        <v>66.5</v>
      </c>
      <c r="G46">
        <v>36.5</v>
      </c>
      <c r="H46">
        <v>34.5</v>
      </c>
      <c r="I46" t="s">
        <v>1</v>
      </c>
      <c r="J46" t="s">
        <v>1</v>
      </c>
      <c r="K46" t="s">
        <v>1</v>
      </c>
      <c r="L46" t="s">
        <v>1</v>
      </c>
      <c r="M46">
        <v>30</v>
      </c>
      <c r="N46">
        <v>42</v>
      </c>
      <c r="O46">
        <v>53.5</v>
      </c>
      <c r="P46">
        <v>39.5</v>
      </c>
      <c r="Q46" t="s">
        <v>1</v>
      </c>
      <c r="R46" t="s">
        <v>1</v>
      </c>
      <c r="S46">
        <v>19</v>
      </c>
      <c r="T46">
        <v>31</v>
      </c>
    </row>
    <row r="47" spans="1:20">
      <c r="A47">
        <v>1459614</v>
      </c>
      <c r="B47" t="s">
        <v>84</v>
      </c>
      <c r="C47">
        <v>302</v>
      </c>
      <c r="D47" s="1">
        <v>0.73660000000000003</v>
      </c>
      <c r="E47" t="s">
        <v>146</v>
      </c>
      <c r="F47">
        <v>67.5</v>
      </c>
      <c r="G47">
        <v>34.5</v>
      </c>
      <c r="H47">
        <v>39.5</v>
      </c>
      <c r="I47" t="s">
        <v>1</v>
      </c>
      <c r="J47" t="s">
        <v>1</v>
      </c>
      <c r="K47" t="s">
        <v>1</v>
      </c>
      <c r="L47" t="s">
        <v>1</v>
      </c>
      <c r="M47">
        <v>32.5</v>
      </c>
      <c r="N47">
        <v>45.5</v>
      </c>
      <c r="O47">
        <v>52.5</v>
      </c>
      <c r="P47">
        <v>30</v>
      </c>
      <c r="Q47" t="s">
        <v>1</v>
      </c>
      <c r="R47" t="s">
        <v>1</v>
      </c>
      <c r="S47">
        <v>17</v>
      </c>
      <c r="T47">
        <v>38</v>
      </c>
    </row>
    <row r="48" spans="1:20">
      <c r="A48">
        <v>1459637</v>
      </c>
      <c r="B48" t="s">
        <v>107</v>
      </c>
      <c r="C48">
        <v>300.5</v>
      </c>
      <c r="D48" s="1">
        <v>0.7329</v>
      </c>
      <c r="E48" t="s">
        <v>146</v>
      </c>
      <c r="F48">
        <v>57</v>
      </c>
      <c r="G48">
        <v>37.5</v>
      </c>
      <c r="H48">
        <v>39.5</v>
      </c>
      <c r="I48" t="s">
        <v>1</v>
      </c>
      <c r="J48" t="s">
        <v>1</v>
      </c>
      <c r="K48" t="s">
        <v>1</v>
      </c>
      <c r="L48" t="s">
        <v>1</v>
      </c>
      <c r="M48">
        <v>39</v>
      </c>
      <c r="N48">
        <v>38.5</v>
      </c>
      <c r="O48">
        <v>50.5</v>
      </c>
      <c r="P48">
        <v>38.5</v>
      </c>
      <c r="Q48" t="s">
        <v>1</v>
      </c>
      <c r="R48" t="s">
        <v>1</v>
      </c>
      <c r="S48">
        <v>19</v>
      </c>
      <c r="T48">
        <v>27</v>
      </c>
    </row>
    <row r="49" spans="1:20">
      <c r="A49">
        <v>1459562</v>
      </c>
      <c r="B49" t="s">
        <v>32</v>
      </c>
      <c r="C49">
        <v>300</v>
      </c>
      <c r="D49" s="1">
        <v>0.73170000000000002</v>
      </c>
      <c r="E49" t="s">
        <v>146</v>
      </c>
      <c r="F49">
        <v>59.5</v>
      </c>
      <c r="G49">
        <v>45</v>
      </c>
      <c r="H49">
        <v>38.5</v>
      </c>
      <c r="I49" t="s">
        <v>1</v>
      </c>
      <c r="J49" t="s">
        <v>1</v>
      </c>
      <c r="K49" t="s">
        <v>1</v>
      </c>
      <c r="L49" t="s">
        <v>1</v>
      </c>
      <c r="M49">
        <v>46</v>
      </c>
      <c r="N49">
        <v>36.5</v>
      </c>
      <c r="O49">
        <v>40.5</v>
      </c>
      <c r="P49">
        <v>34</v>
      </c>
      <c r="Q49" t="s">
        <v>1</v>
      </c>
      <c r="R49" t="s">
        <v>1</v>
      </c>
      <c r="S49">
        <v>13</v>
      </c>
      <c r="T49">
        <v>33</v>
      </c>
    </row>
    <row r="50" spans="1:20">
      <c r="A50">
        <v>1459623</v>
      </c>
      <c r="B50" t="s">
        <v>93</v>
      </c>
      <c r="C50">
        <v>299.5</v>
      </c>
      <c r="D50" s="1">
        <v>0.73050000000000004</v>
      </c>
      <c r="E50" t="s">
        <v>146</v>
      </c>
      <c r="F50">
        <v>61.5</v>
      </c>
      <c r="G50">
        <v>28</v>
      </c>
      <c r="H50">
        <v>38.5</v>
      </c>
      <c r="I50" t="s">
        <v>1</v>
      </c>
      <c r="J50" t="s">
        <v>1</v>
      </c>
      <c r="K50" t="s">
        <v>1</v>
      </c>
      <c r="L50" t="s">
        <v>1</v>
      </c>
      <c r="M50">
        <v>37.5</v>
      </c>
      <c r="N50">
        <v>43</v>
      </c>
      <c r="O50">
        <v>49</v>
      </c>
      <c r="P50">
        <v>42</v>
      </c>
      <c r="Q50" t="s">
        <v>1</v>
      </c>
      <c r="R50" t="s">
        <v>1</v>
      </c>
      <c r="S50">
        <v>19</v>
      </c>
      <c r="T50">
        <v>36</v>
      </c>
    </row>
    <row r="51" spans="1:20">
      <c r="A51">
        <v>1459620</v>
      </c>
      <c r="B51" t="s">
        <v>90</v>
      </c>
      <c r="C51">
        <v>296</v>
      </c>
      <c r="D51" s="1">
        <v>0.72199999999999998</v>
      </c>
      <c r="E51" t="s">
        <v>146</v>
      </c>
      <c r="F51">
        <v>67.5</v>
      </c>
      <c r="G51">
        <v>37</v>
      </c>
      <c r="H51">
        <v>39</v>
      </c>
      <c r="I51" t="s">
        <v>1</v>
      </c>
      <c r="J51" t="s">
        <v>1</v>
      </c>
      <c r="K51" t="s">
        <v>1</v>
      </c>
      <c r="L51" t="s">
        <v>1</v>
      </c>
      <c r="M51">
        <v>30</v>
      </c>
      <c r="N51">
        <v>50</v>
      </c>
      <c r="O51">
        <v>42.5</v>
      </c>
      <c r="P51">
        <v>30</v>
      </c>
      <c r="Q51" t="s">
        <v>1</v>
      </c>
      <c r="R51" t="s">
        <v>1</v>
      </c>
      <c r="S51">
        <v>18</v>
      </c>
      <c r="T51">
        <v>37</v>
      </c>
    </row>
    <row r="52" spans="1:20">
      <c r="A52">
        <v>1459621</v>
      </c>
      <c r="B52" t="s">
        <v>91</v>
      </c>
      <c r="C52">
        <v>296</v>
      </c>
      <c r="D52" s="1">
        <v>0.72199999999999998</v>
      </c>
      <c r="E52" t="s">
        <v>146</v>
      </c>
      <c r="F52">
        <v>63.5</v>
      </c>
      <c r="G52">
        <v>40</v>
      </c>
      <c r="H52">
        <v>39</v>
      </c>
      <c r="I52" t="s">
        <v>1</v>
      </c>
      <c r="J52" t="s">
        <v>1</v>
      </c>
      <c r="K52" t="s">
        <v>1</v>
      </c>
      <c r="L52" t="s">
        <v>1</v>
      </c>
      <c r="M52">
        <v>31</v>
      </c>
      <c r="N52">
        <v>42.5</v>
      </c>
      <c r="O52">
        <v>50</v>
      </c>
      <c r="P52">
        <v>30</v>
      </c>
      <c r="Q52" t="s">
        <v>1</v>
      </c>
      <c r="R52" t="s">
        <v>1</v>
      </c>
      <c r="S52">
        <v>19</v>
      </c>
      <c r="T52">
        <v>29</v>
      </c>
    </row>
    <row r="53" spans="1:20">
      <c r="A53">
        <v>1459625</v>
      </c>
      <c r="B53" t="s">
        <v>95</v>
      </c>
      <c r="C53">
        <v>295.5</v>
      </c>
      <c r="D53" s="1">
        <v>0.72070000000000001</v>
      </c>
      <c r="E53" t="s">
        <v>146</v>
      </c>
      <c r="F53">
        <v>69.5</v>
      </c>
      <c r="G53">
        <v>39</v>
      </c>
      <c r="H53">
        <v>38.5</v>
      </c>
      <c r="I53" t="s">
        <v>1</v>
      </c>
      <c r="J53" t="s">
        <v>1</v>
      </c>
      <c r="K53" t="s">
        <v>1</v>
      </c>
      <c r="L53" t="s">
        <v>1</v>
      </c>
      <c r="M53">
        <v>30</v>
      </c>
      <c r="N53">
        <v>43.5</v>
      </c>
      <c r="O53">
        <v>45</v>
      </c>
      <c r="P53">
        <v>30</v>
      </c>
      <c r="Q53" t="s">
        <v>1</v>
      </c>
      <c r="R53" t="s">
        <v>1</v>
      </c>
      <c r="S53">
        <v>22</v>
      </c>
      <c r="T53">
        <v>36</v>
      </c>
    </row>
    <row r="54" spans="1:20">
      <c r="A54">
        <v>1459645</v>
      </c>
      <c r="B54" t="s">
        <v>115</v>
      </c>
      <c r="C54">
        <v>294</v>
      </c>
      <c r="D54" s="1">
        <v>0.71709999999999996</v>
      </c>
      <c r="E54" t="s">
        <v>146</v>
      </c>
      <c r="F54">
        <v>56</v>
      </c>
      <c r="G54">
        <v>38</v>
      </c>
      <c r="H54">
        <v>38.5</v>
      </c>
      <c r="I54" t="s">
        <v>1</v>
      </c>
      <c r="J54" t="s">
        <v>1</v>
      </c>
      <c r="K54" t="s">
        <v>1</v>
      </c>
      <c r="L54" t="s">
        <v>1</v>
      </c>
      <c r="M54">
        <v>30</v>
      </c>
      <c r="N54">
        <v>46</v>
      </c>
      <c r="O54">
        <v>49.5</v>
      </c>
      <c r="P54">
        <v>36</v>
      </c>
      <c r="Q54" t="s">
        <v>1</v>
      </c>
      <c r="R54" t="s">
        <v>1</v>
      </c>
      <c r="S54">
        <v>22</v>
      </c>
      <c r="T54">
        <v>30</v>
      </c>
    </row>
    <row r="55" spans="1:20">
      <c r="A55">
        <v>1459531</v>
      </c>
      <c r="B55" t="s">
        <v>0</v>
      </c>
      <c r="C55">
        <v>293.5</v>
      </c>
      <c r="D55" s="1">
        <v>0.71589999999999998</v>
      </c>
      <c r="E55" t="s">
        <v>147</v>
      </c>
      <c r="F55">
        <v>46</v>
      </c>
      <c r="G55">
        <v>35.5</v>
      </c>
      <c r="H55">
        <v>34.5</v>
      </c>
      <c r="I55">
        <v>37</v>
      </c>
      <c r="J55">
        <v>52.5</v>
      </c>
      <c r="K55">
        <v>45</v>
      </c>
      <c r="L55">
        <v>43</v>
      </c>
      <c r="M55" t="s">
        <v>1</v>
      </c>
      <c r="N55" t="s">
        <v>1</v>
      </c>
      <c r="O55" t="s">
        <v>1</v>
      </c>
      <c r="P55" t="s">
        <v>1</v>
      </c>
      <c r="Q55" t="s">
        <v>1</v>
      </c>
      <c r="R55" t="s">
        <v>1</v>
      </c>
      <c r="S55">
        <v>18</v>
      </c>
      <c r="T55">
        <v>25</v>
      </c>
    </row>
    <row r="56" spans="1:20">
      <c r="A56">
        <v>1459593</v>
      </c>
      <c r="B56" t="s">
        <v>63</v>
      </c>
      <c r="C56">
        <v>290.5</v>
      </c>
      <c r="D56" s="1">
        <v>0.70850000000000002</v>
      </c>
      <c r="E56" t="s">
        <v>146</v>
      </c>
      <c r="F56">
        <v>56</v>
      </c>
      <c r="G56">
        <v>36.5</v>
      </c>
      <c r="H56">
        <v>39.5</v>
      </c>
      <c r="I56" t="s">
        <v>1</v>
      </c>
      <c r="J56" t="s">
        <v>1</v>
      </c>
      <c r="K56" t="s">
        <v>1</v>
      </c>
      <c r="L56" t="s">
        <v>1</v>
      </c>
      <c r="M56">
        <v>39</v>
      </c>
      <c r="N56">
        <v>42</v>
      </c>
      <c r="O56">
        <v>40.5</v>
      </c>
      <c r="P56">
        <v>37</v>
      </c>
      <c r="Q56" t="s">
        <v>1</v>
      </c>
      <c r="R56" t="s">
        <v>1</v>
      </c>
      <c r="S56">
        <v>18</v>
      </c>
      <c r="T56">
        <v>32</v>
      </c>
    </row>
    <row r="57" spans="1:20">
      <c r="A57">
        <v>1459628</v>
      </c>
      <c r="B57" t="s">
        <v>98</v>
      </c>
      <c r="C57">
        <v>290.5</v>
      </c>
      <c r="D57" s="1">
        <v>0.70850000000000002</v>
      </c>
      <c r="E57" t="s">
        <v>146</v>
      </c>
      <c r="F57">
        <v>63</v>
      </c>
      <c r="G57">
        <v>38.5</v>
      </c>
      <c r="H57">
        <v>39.5</v>
      </c>
      <c r="I57" t="s">
        <v>1</v>
      </c>
      <c r="J57" t="s">
        <v>1</v>
      </c>
      <c r="K57" t="s">
        <v>1</v>
      </c>
      <c r="L57" t="s">
        <v>1</v>
      </c>
      <c r="M57">
        <v>30</v>
      </c>
      <c r="N57">
        <v>48</v>
      </c>
      <c r="O57">
        <v>41.5</v>
      </c>
      <c r="P57">
        <v>30</v>
      </c>
      <c r="Q57" t="s">
        <v>1</v>
      </c>
      <c r="R57" t="s">
        <v>1</v>
      </c>
      <c r="S57">
        <v>19</v>
      </c>
      <c r="T57">
        <v>36</v>
      </c>
    </row>
    <row r="58" spans="1:20">
      <c r="A58">
        <v>1459602</v>
      </c>
      <c r="B58" t="s">
        <v>72</v>
      </c>
      <c r="C58">
        <v>289.5</v>
      </c>
      <c r="D58" s="1">
        <v>0.70609999999999995</v>
      </c>
      <c r="E58" t="s">
        <v>146</v>
      </c>
      <c r="F58">
        <v>48</v>
      </c>
      <c r="G58">
        <v>42</v>
      </c>
      <c r="H58">
        <v>26.5</v>
      </c>
      <c r="I58" t="s">
        <v>1</v>
      </c>
      <c r="J58" t="s">
        <v>1</v>
      </c>
      <c r="K58" t="s">
        <v>1</v>
      </c>
      <c r="L58" t="s">
        <v>1</v>
      </c>
      <c r="M58">
        <v>44</v>
      </c>
      <c r="N58">
        <v>45</v>
      </c>
      <c r="O58">
        <v>45.5</v>
      </c>
      <c r="P58">
        <v>38.5</v>
      </c>
      <c r="Q58" t="s">
        <v>1</v>
      </c>
      <c r="R58" t="s">
        <v>1</v>
      </c>
      <c r="S58">
        <v>20</v>
      </c>
      <c r="T58">
        <v>29</v>
      </c>
    </row>
    <row r="59" spans="1:20">
      <c r="A59">
        <v>1459609</v>
      </c>
      <c r="B59" t="s">
        <v>79</v>
      </c>
      <c r="C59">
        <v>289.5</v>
      </c>
      <c r="D59" s="1">
        <v>0.70609999999999995</v>
      </c>
      <c r="E59" t="s">
        <v>146</v>
      </c>
      <c r="F59">
        <v>51.5</v>
      </c>
      <c r="G59">
        <v>39</v>
      </c>
      <c r="H59">
        <v>37.5</v>
      </c>
      <c r="I59" t="s">
        <v>1</v>
      </c>
      <c r="J59" t="s">
        <v>1</v>
      </c>
      <c r="K59" t="s">
        <v>1</v>
      </c>
      <c r="L59" t="s">
        <v>1</v>
      </c>
      <c r="M59">
        <v>30</v>
      </c>
      <c r="N59">
        <v>42</v>
      </c>
      <c r="O59">
        <v>48</v>
      </c>
      <c r="P59">
        <v>41.5</v>
      </c>
      <c r="Q59" t="s">
        <v>1</v>
      </c>
      <c r="R59" t="s">
        <v>1</v>
      </c>
      <c r="S59">
        <v>19</v>
      </c>
      <c r="T59">
        <v>26</v>
      </c>
    </row>
    <row r="60" spans="1:20">
      <c r="A60">
        <v>1459644</v>
      </c>
      <c r="B60" t="s">
        <v>114</v>
      </c>
      <c r="C60">
        <v>289.5</v>
      </c>
      <c r="D60" s="1">
        <v>0.70609999999999995</v>
      </c>
      <c r="E60" t="s">
        <v>146</v>
      </c>
      <c r="F60">
        <v>62.5</v>
      </c>
      <c r="G60">
        <v>40.5</v>
      </c>
      <c r="H60">
        <v>39.5</v>
      </c>
      <c r="I60" t="s">
        <v>1</v>
      </c>
      <c r="J60" t="s">
        <v>1</v>
      </c>
      <c r="K60" t="s">
        <v>1</v>
      </c>
      <c r="L60" t="s">
        <v>1</v>
      </c>
      <c r="M60">
        <v>30</v>
      </c>
      <c r="N60">
        <v>36</v>
      </c>
      <c r="O60">
        <v>51</v>
      </c>
      <c r="P60">
        <v>30</v>
      </c>
      <c r="Q60" t="s">
        <v>1</v>
      </c>
      <c r="R60" t="s">
        <v>1</v>
      </c>
      <c r="S60">
        <v>23</v>
      </c>
      <c r="T60">
        <v>34</v>
      </c>
    </row>
    <row r="61" spans="1:20">
      <c r="A61">
        <v>1459605</v>
      </c>
      <c r="B61" t="s">
        <v>75</v>
      </c>
      <c r="C61">
        <v>287.5</v>
      </c>
      <c r="D61" s="1">
        <v>0.70120000000000005</v>
      </c>
      <c r="E61" t="s">
        <v>146</v>
      </c>
      <c r="F61">
        <v>56</v>
      </c>
      <c r="G61">
        <v>36.5</v>
      </c>
      <c r="H61">
        <v>36.5</v>
      </c>
      <c r="I61" t="s">
        <v>1</v>
      </c>
      <c r="J61" t="s">
        <v>1</v>
      </c>
      <c r="K61" t="s">
        <v>1</v>
      </c>
      <c r="L61" t="s">
        <v>1</v>
      </c>
      <c r="M61">
        <v>30</v>
      </c>
      <c r="N61">
        <v>42.5</v>
      </c>
      <c r="O61">
        <v>53.5</v>
      </c>
      <c r="P61">
        <v>32.5</v>
      </c>
      <c r="Q61" t="s">
        <v>1</v>
      </c>
      <c r="R61" t="s">
        <v>1</v>
      </c>
      <c r="S61">
        <v>19</v>
      </c>
      <c r="T61">
        <v>29</v>
      </c>
    </row>
    <row r="62" spans="1:20">
      <c r="A62">
        <v>1459556</v>
      </c>
      <c r="B62" t="s">
        <v>26</v>
      </c>
      <c r="C62">
        <v>286.5</v>
      </c>
      <c r="D62" s="1">
        <v>0.69879999999999998</v>
      </c>
      <c r="E62" t="s">
        <v>146</v>
      </c>
      <c r="F62">
        <v>66</v>
      </c>
      <c r="G62">
        <v>32.5</v>
      </c>
      <c r="H62">
        <v>29</v>
      </c>
      <c r="I62">
        <v>50.5</v>
      </c>
      <c r="J62">
        <v>32</v>
      </c>
      <c r="K62">
        <v>39.5</v>
      </c>
      <c r="L62">
        <v>37</v>
      </c>
      <c r="M62" t="s">
        <v>1</v>
      </c>
      <c r="N62" t="s">
        <v>1</v>
      </c>
      <c r="O62" t="s">
        <v>1</v>
      </c>
      <c r="P62" t="s">
        <v>1</v>
      </c>
      <c r="Q62" t="s">
        <v>1</v>
      </c>
      <c r="R62" t="s">
        <v>1</v>
      </c>
      <c r="S62">
        <v>15</v>
      </c>
      <c r="T62">
        <v>28</v>
      </c>
    </row>
    <row r="63" spans="1:20">
      <c r="A63">
        <v>1459546</v>
      </c>
      <c r="B63" t="s">
        <v>16</v>
      </c>
      <c r="C63">
        <v>285.5</v>
      </c>
      <c r="D63" s="1">
        <v>0.69630000000000003</v>
      </c>
      <c r="E63" t="s">
        <v>146</v>
      </c>
      <c r="F63">
        <v>40</v>
      </c>
      <c r="G63">
        <v>47</v>
      </c>
      <c r="H63">
        <v>28</v>
      </c>
      <c r="I63">
        <v>44</v>
      </c>
      <c r="J63">
        <v>39</v>
      </c>
      <c r="K63">
        <v>41.5</v>
      </c>
      <c r="L63">
        <v>46</v>
      </c>
      <c r="M63" t="s">
        <v>1</v>
      </c>
      <c r="N63" t="s">
        <v>1</v>
      </c>
      <c r="O63" t="s">
        <v>1</v>
      </c>
      <c r="P63" t="s">
        <v>1</v>
      </c>
      <c r="Q63" t="s">
        <v>1</v>
      </c>
      <c r="R63" t="s">
        <v>1</v>
      </c>
      <c r="S63">
        <v>18</v>
      </c>
      <c r="T63">
        <v>29</v>
      </c>
    </row>
    <row r="64" spans="1:20">
      <c r="A64">
        <v>1459619</v>
      </c>
      <c r="B64" t="s">
        <v>89</v>
      </c>
      <c r="C64">
        <v>285.5</v>
      </c>
      <c r="D64" s="1">
        <v>0.69630000000000003</v>
      </c>
      <c r="E64" t="s">
        <v>146</v>
      </c>
      <c r="F64">
        <v>66.5</v>
      </c>
      <c r="G64">
        <v>31</v>
      </c>
      <c r="H64">
        <v>39.5</v>
      </c>
      <c r="I64" t="s">
        <v>1</v>
      </c>
      <c r="J64" t="s">
        <v>1</v>
      </c>
      <c r="K64" t="s">
        <v>1</v>
      </c>
      <c r="L64" t="s">
        <v>1</v>
      </c>
      <c r="M64">
        <v>30</v>
      </c>
      <c r="N64">
        <v>46.5</v>
      </c>
      <c r="O64">
        <v>42</v>
      </c>
      <c r="P64">
        <v>30</v>
      </c>
      <c r="Q64" t="s">
        <v>1</v>
      </c>
      <c r="R64" t="s">
        <v>1</v>
      </c>
      <c r="S64">
        <v>18</v>
      </c>
      <c r="T64">
        <v>35</v>
      </c>
    </row>
    <row r="65" spans="1:20">
      <c r="A65">
        <v>1459583</v>
      </c>
      <c r="B65" t="s">
        <v>53</v>
      </c>
      <c r="C65">
        <v>284.5</v>
      </c>
      <c r="D65" s="1">
        <v>0.69389999999999996</v>
      </c>
      <c r="E65" t="s">
        <v>146</v>
      </c>
      <c r="F65">
        <v>46</v>
      </c>
      <c r="G65">
        <v>39</v>
      </c>
      <c r="H65">
        <v>31.5</v>
      </c>
      <c r="I65" t="s">
        <v>1</v>
      </c>
      <c r="J65" t="s">
        <v>1</v>
      </c>
      <c r="K65" t="s">
        <v>1</v>
      </c>
      <c r="L65" t="s">
        <v>1</v>
      </c>
      <c r="M65">
        <v>32.5</v>
      </c>
      <c r="N65">
        <v>38.5</v>
      </c>
      <c r="O65">
        <v>49</v>
      </c>
      <c r="P65">
        <v>48</v>
      </c>
      <c r="Q65" t="s">
        <v>1</v>
      </c>
      <c r="R65" t="s">
        <v>1</v>
      </c>
      <c r="S65">
        <v>19</v>
      </c>
      <c r="T65">
        <v>30</v>
      </c>
    </row>
    <row r="66" spans="1:20">
      <c r="A66">
        <v>1459643</v>
      </c>
      <c r="B66" t="s">
        <v>113</v>
      </c>
      <c r="C66">
        <v>284.5</v>
      </c>
      <c r="D66" s="1">
        <v>0.69389999999999996</v>
      </c>
      <c r="E66" t="s">
        <v>146</v>
      </c>
      <c r="F66">
        <v>56.5</v>
      </c>
      <c r="G66">
        <v>36</v>
      </c>
      <c r="H66">
        <v>37.5</v>
      </c>
      <c r="I66" t="s">
        <v>1</v>
      </c>
      <c r="J66" t="s">
        <v>1</v>
      </c>
      <c r="K66" t="s">
        <v>1</v>
      </c>
      <c r="L66" t="s">
        <v>1</v>
      </c>
      <c r="M66">
        <v>30</v>
      </c>
      <c r="N66">
        <v>47</v>
      </c>
      <c r="O66">
        <v>47.5</v>
      </c>
      <c r="P66">
        <v>30</v>
      </c>
      <c r="Q66" t="s">
        <v>1</v>
      </c>
      <c r="R66" t="s">
        <v>1</v>
      </c>
      <c r="S66">
        <v>21</v>
      </c>
      <c r="T66">
        <v>29</v>
      </c>
    </row>
    <row r="67" spans="1:20">
      <c r="A67">
        <v>1459574</v>
      </c>
      <c r="B67" t="s">
        <v>44</v>
      </c>
      <c r="C67">
        <v>283.5</v>
      </c>
      <c r="D67" s="1">
        <v>0.6915</v>
      </c>
      <c r="E67" t="s">
        <v>146</v>
      </c>
      <c r="F67">
        <v>41.5</v>
      </c>
      <c r="G67">
        <v>38</v>
      </c>
      <c r="H67">
        <v>38</v>
      </c>
      <c r="I67" t="s">
        <v>1</v>
      </c>
      <c r="J67" t="s">
        <v>1</v>
      </c>
      <c r="K67" t="s">
        <v>1</v>
      </c>
      <c r="L67" t="s">
        <v>1</v>
      </c>
      <c r="M67">
        <v>40.5</v>
      </c>
      <c r="N67">
        <v>50</v>
      </c>
      <c r="O67">
        <v>45.5</v>
      </c>
      <c r="P67">
        <v>30</v>
      </c>
      <c r="Q67" t="s">
        <v>1</v>
      </c>
      <c r="R67" t="s">
        <v>1</v>
      </c>
      <c r="S67">
        <v>16</v>
      </c>
      <c r="T67">
        <v>25</v>
      </c>
    </row>
    <row r="68" spans="1:20">
      <c r="A68">
        <v>1459550</v>
      </c>
      <c r="B68" t="s">
        <v>20</v>
      </c>
      <c r="C68">
        <v>283</v>
      </c>
      <c r="D68" s="1">
        <v>0.69020000000000004</v>
      </c>
      <c r="E68" t="s">
        <v>146</v>
      </c>
      <c r="F68">
        <v>46.5</v>
      </c>
      <c r="G68">
        <v>46</v>
      </c>
      <c r="H68">
        <v>35</v>
      </c>
      <c r="I68">
        <v>42.5</v>
      </c>
      <c r="J68">
        <v>30</v>
      </c>
      <c r="K68">
        <v>45</v>
      </c>
      <c r="L68">
        <v>38</v>
      </c>
      <c r="M68" t="s">
        <v>1</v>
      </c>
      <c r="N68" t="s">
        <v>1</v>
      </c>
      <c r="O68" t="s">
        <v>1</v>
      </c>
      <c r="P68" t="s">
        <v>1</v>
      </c>
      <c r="Q68" t="s">
        <v>1</v>
      </c>
      <c r="R68" t="s">
        <v>1</v>
      </c>
      <c r="S68">
        <v>16</v>
      </c>
      <c r="T68">
        <v>25</v>
      </c>
    </row>
    <row r="69" spans="1:20">
      <c r="A69">
        <v>1459560</v>
      </c>
      <c r="B69" t="s">
        <v>30</v>
      </c>
      <c r="C69">
        <v>280.5</v>
      </c>
      <c r="D69" s="1">
        <v>0.68410000000000004</v>
      </c>
      <c r="E69" t="s">
        <v>146</v>
      </c>
      <c r="F69">
        <v>63</v>
      </c>
      <c r="G69">
        <v>37</v>
      </c>
      <c r="H69">
        <v>39.5</v>
      </c>
      <c r="I69" t="s">
        <v>1</v>
      </c>
      <c r="J69" t="s">
        <v>1</v>
      </c>
      <c r="K69" t="s">
        <v>1</v>
      </c>
      <c r="L69" t="s">
        <v>1</v>
      </c>
      <c r="M69">
        <v>30</v>
      </c>
      <c r="N69">
        <v>30</v>
      </c>
      <c r="O69">
        <v>50</v>
      </c>
      <c r="P69">
        <v>31</v>
      </c>
      <c r="Q69" t="s">
        <v>1</v>
      </c>
      <c r="R69" t="s">
        <v>1</v>
      </c>
      <c r="S69">
        <v>18</v>
      </c>
      <c r="T69">
        <v>28</v>
      </c>
    </row>
    <row r="70" spans="1:20">
      <c r="A70">
        <v>1459551</v>
      </c>
      <c r="B70" t="s">
        <v>21</v>
      </c>
      <c r="C70">
        <v>280</v>
      </c>
      <c r="D70" s="1">
        <v>0.68289999999999995</v>
      </c>
      <c r="E70" t="s">
        <v>146</v>
      </c>
      <c r="F70">
        <v>69</v>
      </c>
      <c r="G70">
        <v>36</v>
      </c>
      <c r="H70">
        <v>32.5</v>
      </c>
      <c r="I70">
        <v>49.5</v>
      </c>
      <c r="J70">
        <v>33</v>
      </c>
      <c r="K70">
        <v>30</v>
      </c>
      <c r="L70">
        <v>30</v>
      </c>
      <c r="M70" t="s">
        <v>1</v>
      </c>
      <c r="N70" t="s">
        <v>1</v>
      </c>
      <c r="O70" t="s">
        <v>1</v>
      </c>
      <c r="P70" t="s">
        <v>1</v>
      </c>
      <c r="Q70" t="s">
        <v>1</v>
      </c>
      <c r="R70" t="s">
        <v>1</v>
      </c>
      <c r="S70">
        <v>14</v>
      </c>
      <c r="T70">
        <v>28</v>
      </c>
    </row>
    <row r="71" spans="1:20">
      <c r="A71">
        <v>1459631</v>
      </c>
      <c r="B71" t="s">
        <v>101</v>
      </c>
      <c r="C71">
        <v>280</v>
      </c>
      <c r="D71" s="1">
        <v>0.68289999999999995</v>
      </c>
      <c r="E71" t="s">
        <v>146</v>
      </c>
      <c r="F71">
        <v>58.5</v>
      </c>
      <c r="G71">
        <v>38</v>
      </c>
      <c r="H71">
        <v>37</v>
      </c>
      <c r="I71" t="s">
        <v>1</v>
      </c>
      <c r="J71" t="s">
        <v>1</v>
      </c>
      <c r="K71" t="s">
        <v>1</v>
      </c>
      <c r="L71" t="s">
        <v>1</v>
      </c>
      <c r="M71">
        <v>30</v>
      </c>
      <c r="N71">
        <v>40</v>
      </c>
      <c r="O71">
        <v>46.5</v>
      </c>
      <c r="P71">
        <v>30</v>
      </c>
      <c r="Q71" t="s">
        <v>1</v>
      </c>
      <c r="R71" t="s">
        <v>1</v>
      </c>
      <c r="S71">
        <v>16</v>
      </c>
      <c r="T71">
        <v>25</v>
      </c>
    </row>
    <row r="72" spans="1:20">
      <c r="A72">
        <v>1459544</v>
      </c>
      <c r="B72" t="s">
        <v>14</v>
      </c>
      <c r="C72">
        <v>279</v>
      </c>
      <c r="D72" s="1">
        <v>0.68049999999999999</v>
      </c>
      <c r="E72" t="s">
        <v>146</v>
      </c>
      <c r="F72">
        <v>45</v>
      </c>
      <c r="G72">
        <v>42</v>
      </c>
      <c r="H72">
        <v>37</v>
      </c>
      <c r="I72">
        <v>39</v>
      </c>
      <c r="J72">
        <v>43</v>
      </c>
      <c r="K72">
        <v>43</v>
      </c>
      <c r="L72">
        <v>30</v>
      </c>
      <c r="M72" t="s">
        <v>1</v>
      </c>
      <c r="N72" t="s">
        <v>1</v>
      </c>
      <c r="O72" t="s">
        <v>1</v>
      </c>
      <c r="P72" t="s">
        <v>1</v>
      </c>
      <c r="Q72" t="s">
        <v>1</v>
      </c>
      <c r="R72" t="s">
        <v>1</v>
      </c>
      <c r="S72">
        <v>15</v>
      </c>
      <c r="T72">
        <v>25</v>
      </c>
    </row>
    <row r="73" spans="1:20">
      <c r="A73">
        <v>1459610</v>
      </c>
      <c r="B73" t="s">
        <v>80</v>
      </c>
      <c r="C73">
        <v>279</v>
      </c>
      <c r="D73" s="1">
        <v>0.68049999999999999</v>
      </c>
      <c r="E73" t="s">
        <v>147</v>
      </c>
      <c r="F73">
        <v>29.5</v>
      </c>
      <c r="G73">
        <v>45</v>
      </c>
      <c r="H73">
        <v>33.5</v>
      </c>
      <c r="I73" t="s">
        <v>1</v>
      </c>
      <c r="J73" t="s">
        <v>1</v>
      </c>
      <c r="K73" t="s">
        <v>1</v>
      </c>
      <c r="L73" t="s">
        <v>1</v>
      </c>
      <c r="M73">
        <v>33</v>
      </c>
      <c r="N73">
        <v>48</v>
      </c>
      <c r="O73">
        <v>44.5</v>
      </c>
      <c r="P73">
        <v>45.5</v>
      </c>
      <c r="Q73" t="s">
        <v>1</v>
      </c>
      <c r="R73" t="s">
        <v>1</v>
      </c>
      <c r="S73">
        <v>19</v>
      </c>
      <c r="T73">
        <v>25</v>
      </c>
    </row>
    <row r="74" spans="1:20">
      <c r="A74">
        <v>1459536</v>
      </c>
      <c r="B74" t="s">
        <v>6</v>
      </c>
      <c r="C74">
        <v>277.5</v>
      </c>
      <c r="D74" s="1">
        <v>0.67679999999999996</v>
      </c>
      <c r="E74" t="s">
        <v>146</v>
      </c>
      <c r="F74">
        <v>50.5</v>
      </c>
      <c r="G74">
        <v>42</v>
      </c>
      <c r="H74">
        <v>23.5</v>
      </c>
      <c r="I74">
        <v>33.5</v>
      </c>
      <c r="J74">
        <v>34</v>
      </c>
      <c r="K74">
        <v>46</v>
      </c>
      <c r="L74">
        <v>48</v>
      </c>
      <c r="M74" t="s">
        <v>1</v>
      </c>
      <c r="N74" t="s">
        <v>1</v>
      </c>
      <c r="O74" t="s">
        <v>1</v>
      </c>
      <c r="P74" t="s">
        <v>1</v>
      </c>
      <c r="Q74" t="s">
        <v>1</v>
      </c>
      <c r="R74" t="s">
        <v>1</v>
      </c>
      <c r="S74">
        <v>16</v>
      </c>
      <c r="T74">
        <v>27</v>
      </c>
    </row>
    <row r="75" spans="1:20">
      <c r="A75">
        <v>1459553</v>
      </c>
      <c r="B75" t="s">
        <v>23</v>
      </c>
      <c r="C75">
        <v>275</v>
      </c>
      <c r="D75" s="1">
        <v>0.67069999999999996</v>
      </c>
      <c r="E75" t="s">
        <v>146</v>
      </c>
      <c r="F75">
        <v>65</v>
      </c>
      <c r="G75">
        <v>31</v>
      </c>
      <c r="H75">
        <v>38.5</v>
      </c>
      <c r="I75">
        <v>48.5</v>
      </c>
      <c r="J75">
        <v>30</v>
      </c>
      <c r="K75">
        <v>30</v>
      </c>
      <c r="L75">
        <v>32</v>
      </c>
      <c r="M75" t="s">
        <v>1</v>
      </c>
      <c r="N75" t="s">
        <v>1</v>
      </c>
      <c r="O75" t="s">
        <v>1</v>
      </c>
      <c r="P75" t="s">
        <v>1</v>
      </c>
      <c r="Q75" t="s">
        <v>1</v>
      </c>
      <c r="R75" t="s">
        <v>1</v>
      </c>
      <c r="S75">
        <v>16</v>
      </c>
      <c r="T75">
        <v>32</v>
      </c>
    </row>
    <row r="76" spans="1:20">
      <c r="A76">
        <v>1459649</v>
      </c>
      <c r="B76" t="s">
        <v>119</v>
      </c>
      <c r="C76">
        <v>274</v>
      </c>
      <c r="D76" s="1">
        <v>0.66830000000000001</v>
      </c>
      <c r="E76" t="s">
        <v>146</v>
      </c>
      <c r="F76">
        <v>70</v>
      </c>
      <c r="G76">
        <v>26</v>
      </c>
      <c r="H76" t="s">
        <v>120</v>
      </c>
      <c r="I76" t="s">
        <v>1</v>
      </c>
      <c r="J76" t="s">
        <v>1</v>
      </c>
      <c r="K76" t="s">
        <v>1</v>
      </c>
      <c r="L76" t="s">
        <v>1</v>
      </c>
      <c r="M76">
        <v>51</v>
      </c>
      <c r="N76">
        <v>47</v>
      </c>
      <c r="O76">
        <v>50</v>
      </c>
      <c r="P76">
        <v>30</v>
      </c>
      <c r="Q76" t="s">
        <v>1</v>
      </c>
      <c r="R76" t="s">
        <v>1</v>
      </c>
      <c r="S76">
        <v>24</v>
      </c>
      <c r="T76">
        <v>29.5</v>
      </c>
    </row>
    <row r="77" spans="1:20">
      <c r="A77">
        <v>1459592</v>
      </c>
      <c r="B77" t="s">
        <v>62</v>
      </c>
      <c r="C77">
        <v>272.5</v>
      </c>
      <c r="D77" s="1">
        <v>0.66459999999999997</v>
      </c>
      <c r="E77" t="s">
        <v>146</v>
      </c>
      <c r="F77">
        <v>42</v>
      </c>
      <c r="G77">
        <v>32</v>
      </c>
      <c r="H77">
        <v>36.5</v>
      </c>
      <c r="I77" t="s">
        <v>1</v>
      </c>
      <c r="J77" t="s">
        <v>1</v>
      </c>
      <c r="K77" t="s">
        <v>1</v>
      </c>
      <c r="L77" t="s">
        <v>1</v>
      </c>
      <c r="M77">
        <v>39</v>
      </c>
      <c r="N77">
        <v>44</v>
      </c>
      <c r="O77">
        <v>36</v>
      </c>
      <c r="P77">
        <v>43</v>
      </c>
      <c r="Q77" t="s">
        <v>1</v>
      </c>
      <c r="R77" t="s">
        <v>1</v>
      </c>
      <c r="S77">
        <v>19</v>
      </c>
      <c r="T77">
        <v>33</v>
      </c>
    </row>
    <row r="78" spans="1:20">
      <c r="A78">
        <v>1459607</v>
      </c>
      <c r="B78" t="s">
        <v>77</v>
      </c>
      <c r="C78">
        <v>271.5</v>
      </c>
      <c r="D78" s="1">
        <v>0.66220000000000001</v>
      </c>
      <c r="E78" t="s">
        <v>146</v>
      </c>
      <c r="F78">
        <v>40.5</v>
      </c>
      <c r="G78">
        <v>39</v>
      </c>
      <c r="H78">
        <v>28.5</v>
      </c>
      <c r="I78" t="s">
        <v>1</v>
      </c>
      <c r="J78" t="s">
        <v>1</v>
      </c>
      <c r="K78" t="s">
        <v>1</v>
      </c>
      <c r="L78" t="s">
        <v>1</v>
      </c>
      <c r="M78">
        <v>42</v>
      </c>
      <c r="N78">
        <v>44.5</v>
      </c>
      <c r="O78">
        <v>44</v>
      </c>
      <c r="P78">
        <v>33</v>
      </c>
      <c r="Q78" t="s">
        <v>1</v>
      </c>
      <c r="R78" t="s">
        <v>1</v>
      </c>
      <c r="S78">
        <v>18</v>
      </c>
      <c r="T78">
        <v>28</v>
      </c>
    </row>
    <row r="79" spans="1:20">
      <c r="A79">
        <v>1459557</v>
      </c>
      <c r="B79" t="s">
        <v>27</v>
      </c>
      <c r="C79">
        <v>270.5</v>
      </c>
      <c r="D79" s="1">
        <v>0.65980000000000005</v>
      </c>
      <c r="E79" t="s">
        <v>146</v>
      </c>
      <c r="F79">
        <v>53.5</v>
      </c>
      <c r="G79">
        <v>25</v>
      </c>
      <c r="H79">
        <v>34.5</v>
      </c>
      <c r="I79">
        <v>43</v>
      </c>
      <c r="J79">
        <v>32.5</v>
      </c>
      <c r="K79">
        <v>43</v>
      </c>
      <c r="L79">
        <v>39</v>
      </c>
      <c r="M79" t="s">
        <v>1</v>
      </c>
      <c r="N79" t="s">
        <v>1</v>
      </c>
      <c r="O79" t="s">
        <v>1</v>
      </c>
      <c r="P79" t="s">
        <v>1</v>
      </c>
      <c r="Q79" t="s">
        <v>1</v>
      </c>
      <c r="R79" t="s">
        <v>1</v>
      </c>
      <c r="S79">
        <v>15</v>
      </c>
      <c r="T79">
        <v>25</v>
      </c>
    </row>
    <row r="80" spans="1:20">
      <c r="A80">
        <v>1459639</v>
      </c>
      <c r="B80" t="s">
        <v>109</v>
      </c>
      <c r="C80">
        <v>270</v>
      </c>
      <c r="D80" s="1">
        <v>0.65849999999999997</v>
      </c>
      <c r="E80" t="s">
        <v>146</v>
      </c>
      <c r="F80">
        <v>53</v>
      </c>
      <c r="G80">
        <v>39</v>
      </c>
      <c r="H80">
        <v>38.5</v>
      </c>
      <c r="I80" t="s">
        <v>1</v>
      </c>
      <c r="J80" t="s">
        <v>1</v>
      </c>
      <c r="K80" t="s">
        <v>1</v>
      </c>
      <c r="L80" t="s">
        <v>1</v>
      </c>
      <c r="M80">
        <v>30</v>
      </c>
      <c r="N80">
        <v>33.5</v>
      </c>
      <c r="O80">
        <v>46</v>
      </c>
      <c r="P80">
        <v>30</v>
      </c>
      <c r="Q80" t="s">
        <v>1</v>
      </c>
      <c r="R80" t="s">
        <v>1</v>
      </c>
      <c r="S80">
        <v>18</v>
      </c>
      <c r="T80">
        <v>30</v>
      </c>
    </row>
    <row r="81" spans="1:20">
      <c r="A81">
        <v>1459616</v>
      </c>
      <c r="B81" t="s">
        <v>86</v>
      </c>
      <c r="C81">
        <v>269.5</v>
      </c>
      <c r="D81" s="1">
        <v>0.6573</v>
      </c>
      <c r="E81" t="s">
        <v>147</v>
      </c>
      <c r="F81">
        <v>67.5</v>
      </c>
      <c r="G81">
        <v>30</v>
      </c>
      <c r="H81">
        <v>38.5</v>
      </c>
      <c r="I81" t="s">
        <v>1</v>
      </c>
      <c r="J81" t="s">
        <v>1</v>
      </c>
      <c r="K81" t="s">
        <v>1</v>
      </c>
      <c r="L81" t="s">
        <v>1</v>
      </c>
      <c r="M81">
        <v>30</v>
      </c>
      <c r="N81">
        <v>42</v>
      </c>
      <c r="O81">
        <v>47.5</v>
      </c>
      <c r="P81">
        <v>14</v>
      </c>
      <c r="Q81" t="s">
        <v>1</v>
      </c>
      <c r="R81" t="s">
        <v>1</v>
      </c>
      <c r="S81">
        <v>18</v>
      </c>
      <c r="T81">
        <v>31</v>
      </c>
    </row>
    <row r="82" spans="1:20">
      <c r="A82">
        <v>1459622</v>
      </c>
      <c r="B82" t="s">
        <v>92</v>
      </c>
      <c r="C82">
        <v>269</v>
      </c>
      <c r="D82" s="1">
        <v>0.65610000000000002</v>
      </c>
      <c r="E82" t="s">
        <v>147</v>
      </c>
      <c r="F82">
        <v>65.5</v>
      </c>
      <c r="G82">
        <v>33</v>
      </c>
      <c r="H82">
        <v>37.5</v>
      </c>
      <c r="I82" t="s">
        <v>1</v>
      </c>
      <c r="J82" t="s">
        <v>1</v>
      </c>
      <c r="K82" t="s">
        <v>1</v>
      </c>
      <c r="L82" t="s">
        <v>1</v>
      </c>
      <c r="M82">
        <v>13.5</v>
      </c>
      <c r="N82">
        <v>44</v>
      </c>
      <c r="O82">
        <v>45.5</v>
      </c>
      <c r="P82">
        <v>30</v>
      </c>
      <c r="Q82" t="s">
        <v>1</v>
      </c>
      <c r="R82" t="s">
        <v>1</v>
      </c>
      <c r="S82">
        <v>21</v>
      </c>
      <c r="T82">
        <v>32</v>
      </c>
    </row>
    <row r="83" spans="1:20">
      <c r="A83">
        <v>1459600</v>
      </c>
      <c r="B83" t="s">
        <v>70</v>
      </c>
      <c r="C83">
        <v>267</v>
      </c>
      <c r="D83" s="1">
        <v>0.6512</v>
      </c>
      <c r="E83" t="s">
        <v>146</v>
      </c>
      <c r="F83">
        <v>58.5</v>
      </c>
      <c r="G83">
        <v>43.5</v>
      </c>
      <c r="H83">
        <v>30.5</v>
      </c>
      <c r="I83" t="s">
        <v>1</v>
      </c>
      <c r="J83" t="s">
        <v>1</v>
      </c>
      <c r="K83" t="s">
        <v>1</v>
      </c>
      <c r="L83" t="s">
        <v>1</v>
      </c>
      <c r="M83">
        <v>30</v>
      </c>
      <c r="N83">
        <v>30</v>
      </c>
      <c r="O83">
        <v>44.5</v>
      </c>
      <c r="P83">
        <v>30</v>
      </c>
      <c r="Q83" t="s">
        <v>1</v>
      </c>
      <c r="R83" t="s">
        <v>1</v>
      </c>
      <c r="S83">
        <v>24</v>
      </c>
      <c r="T83">
        <v>29</v>
      </c>
    </row>
    <row r="84" spans="1:20">
      <c r="A84">
        <v>1459559</v>
      </c>
      <c r="B84" t="s">
        <v>29</v>
      </c>
      <c r="C84">
        <v>266.5</v>
      </c>
      <c r="D84" s="1">
        <v>0.65</v>
      </c>
      <c r="E84" t="s">
        <v>146</v>
      </c>
      <c r="F84">
        <v>54.5</v>
      </c>
      <c r="G84">
        <v>28</v>
      </c>
      <c r="H84">
        <v>37</v>
      </c>
      <c r="I84" t="s">
        <v>1</v>
      </c>
      <c r="J84" t="s">
        <v>1</v>
      </c>
      <c r="K84" t="s">
        <v>1</v>
      </c>
      <c r="L84" t="s">
        <v>1</v>
      </c>
      <c r="M84">
        <v>30</v>
      </c>
      <c r="N84">
        <v>33</v>
      </c>
      <c r="O84">
        <v>51</v>
      </c>
      <c r="P84">
        <v>33</v>
      </c>
      <c r="Q84" t="s">
        <v>1</v>
      </c>
      <c r="R84" t="s">
        <v>1</v>
      </c>
      <c r="S84">
        <v>17</v>
      </c>
      <c r="T84">
        <v>25</v>
      </c>
    </row>
    <row r="85" spans="1:20">
      <c r="A85">
        <v>1459618</v>
      </c>
      <c r="B85" t="s">
        <v>88</v>
      </c>
      <c r="C85">
        <v>266</v>
      </c>
      <c r="D85" s="1">
        <v>0.64880000000000004</v>
      </c>
      <c r="E85" t="s">
        <v>146</v>
      </c>
      <c r="F85">
        <v>50</v>
      </c>
      <c r="G85">
        <v>33</v>
      </c>
      <c r="H85">
        <v>39.5</v>
      </c>
      <c r="I85" t="s">
        <v>1</v>
      </c>
      <c r="J85" t="s">
        <v>1</v>
      </c>
      <c r="K85" t="s">
        <v>1</v>
      </c>
      <c r="L85" t="s">
        <v>1</v>
      </c>
      <c r="M85">
        <v>30</v>
      </c>
      <c r="N85">
        <v>39</v>
      </c>
      <c r="O85">
        <v>44.5</v>
      </c>
      <c r="P85">
        <v>30</v>
      </c>
      <c r="Q85" t="s">
        <v>1</v>
      </c>
      <c r="R85" t="s">
        <v>1</v>
      </c>
      <c r="S85">
        <v>17</v>
      </c>
      <c r="T85">
        <v>35</v>
      </c>
    </row>
    <row r="86" spans="1:20">
      <c r="A86">
        <v>1459533</v>
      </c>
      <c r="B86" t="s">
        <v>3</v>
      </c>
      <c r="C86">
        <v>265.5</v>
      </c>
      <c r="D86" s="1">
        <v>0.64759999999999995</v>
      </c>
      <c r="E86" t="s">
        <v>146</v>
      </c>
      <c r="F86">
        <v>44.5</v>
      </c>
      <c r="G86">
        <v>32</v>
      </c>
      <c r="H86">
        <v>27</v>
      </c>
      <c r="I86">
        <v>41.5</v>
      </c>
      <c r="J86">
        <v>42</v>
      </c>
      <c r="K86">
        <v>38.5</v>
      </c>
      <c r="L86">
        <v>40</v>
      </c>
      <c r="M86" t="s">
        <v>1</v>
      </c>
      <c r="N86" t="s">
        <v>1</v>
      </c>
      <c r="O86" t="s">
        <v>1</v>
      </c>
      <c r="P86" t="s">
        <v>1</v>
      </c>
      <c r="Q86" t="s">
        <v>1</v>
      </c>
      <c r="R86" t="s">
        <v>1</v>
      </c>
      <c r="S86">
        <v>15</v>
      </c>
      <c r="T86">
        <v>25</v>
      </c>
    </row>
    <row r="87" spans="1:20">
      <c r="A87">
        <v>1459554</v>
      </c>
      <c r="B87" t="s">
        <v>24</v>
      </c>
      <c r="C87">
        <v>265.5</v>
      </c>
      <c r="D87" s="1">
        <v>0.64759999999999995</v>
      </c>
      <c r="E87" t="s">
        <v>146</v>
      </c>
      <c r="F87">
        <v>61</v>
      </c>
      <c r="G87">
        <v>27</v>
      </c>
      <c r="H87">
        <v>37</v>
      </c>
      <c r="I87">
        <v>46</v>
      </c>
      <c r="J87">
        <v>30</v>
      </c>
      <c r="K87">
        <v>30.5</v>
      </c>
      <c r="L87">
        <v>34</v>
      </c>
      <c r="M87" t="s">
        <v>1</v>
      </c>
      <c r="N87" t="s">
        <v>1</v>
      </c>
      <c r="O87" t="s">
        <v>1</v>
      </c>
      <c r="P87" t="s">
        <v>1</v>
      </c>
      <c r="Q87" t="s">
        <v>1</v>
      </c>
      <c r="R87" t="s">
        <v>1</v>
      </c>
      <c r="S87">
        <v>16</v>
      </c>
      <c r="T87">
        <v>26</v>
      </c>
    </row>
    <row r="88" spans="1:20">
      <c r="A88">
        <v>1459540</v>
      </c>
      <c r="B88" t="s">
        <v>10</v>
      </c>
      <c r="C88">
        <v>264</v>
      </c>
      <c r="D88" s="1">
        <v>0.64390000000000003</v>
      </c>
      <c r="E88" t="s">
        <v>146</v>
      </c>
      <c r="F88">
        <v>47.5</v>
      </c>
      <c r="G88">
        <v>31</v>
      </c>
      <c r="H88">
        <v>25.5</v>
      </c>
      <c r="I88">
        <v>46</v>
      </c>
      <c r="J88">
        <v>30</v>
      </c>
      <c r="K88">
        <v>42</v>
      </c>
      <c r="L88">
        <v>42</v>
      </c>
      <c r="M88" t="s">
        <v>1</v>
      </c>
      <c r="N88" t="s">
        <v>1</v>
      </c>
      <c r="O88" t="s">
        <v>1</v>
      </c>
      <c r="P88" t="s">
        <v>1</v>
      </c>
      <c r="Q88" t="s">
        <v>1</v>
      </c>
      <c r="R88" t="s">
        <v>1</v>
      </c>
      <c r="S88">
        <v>20</v>
      </c>
      <c r="T88">
        <v>25</v>
      </c>
    </row>
    <row r="89" spans="1:20">
      <c r="A89">
        <v>1459626</v>
      </c>
      <c r="B89" t="s">
        <v>96</v>
      </c>
      <c r="C89">
        <v>264</v>
      </c>
      <c r="D89" s="1">
        <v>0.64390000000000003</v>
      </c>
      <c r="E89" t="s">
        <v>146</v>
      </c>
      <c r="F89">
        <v>59</v>
      </c>
      <c r="G89">
        <v>35</v>
      </c>
      <c r="H89">
        <v>35.5</v>
      </c>
      <c r="I89" t="s">
        <v>1</v>
      </c>
      <c r="J89" t="s">
        <v>1</v>
      </c>
      <c r="K89" t="s">
        <v>1</v>
      </c>
      <c r="L89" t="s">
        <v>1</v>
      </c>
      <c r="M89">
        <v>30</v>
      </c>
      <c r="N89">
        <v>42.5</v>
      </c>
      <c r="O89">
        <v>32</v>
      </c>
      <c r="P89">
        <v>30</v>
      </c>
      <c r="Q89" t="s">
        <v>1</v>
      </c>
      <c r="R89" t="s">
        <v>1</v>
      </c>
      <c r="S89">
        <v>22</v>
      </c>
      <c r="T89">
        <v>34</v>
      </c>
    </row>
    <row r="90" spans="1:20">
      <c r="A90">
        <v>1459599</v>
      </c>
      <c r="B90" t="s">
        <v>69</v>
      </c>
      <c r="C90">
        <v>263.5</v>
      </c>
      <c r="D90" s="1">
        <v>0.64270000000000005</v>
      </c>
      <c r="E90" t="s">
        <v>146</v>
      </c>
      <c r="F90">
        <v>55.5</v>
      </c>
      <c r="G90">
        <v>42</v>
      </c>
      <c r="H90">
        <v>36</v>
      </c>
      <c r="I90" t="s">
        <v>1</v>
      </c>
      <c r="J90" t="s">
        <v>1</v>
      </c>
      <c r="K90" t="s">
        <v>1</v>
      </c>
      <c r="L90" t="s">
        <v>1</v>
      </c>
      <c r="M90">
        <v>30</v>
      </c>
      <c r="N90">
        <v>30</v>
      </c>
      <c r="O90">
        <v>40</v>
      </c>
      <c r="P90">
        <v>30</v>
      </c>
      <c r="Q90" t="s">
        <v>1</v>
      </c>
      <c r="R90" t="s">
        <v>1</v>
      </c>
      <c r="S90">
        <v>19</v>
      </c>
      <c r="T90">
        <v>25</v>
      </c>
    </row>
    <row r="91" spans="1:20">
      <c r="A91">
        <v>1459573</v>
      </c>
      <c r="B91" t="s">
        <v>43</v>
      </c>
      <c r="C91">
        <v>263</v>
      </c>
      <c r="D91" s="1">
        <v>0.64149999999999996</v>
      </c>
      <c r="E91" t="s">
        <v>146</v>
      </c>
      <c r="F91">
        <v>43</v>
      </c>
      <c r="G91">
        <v>29</v>
      </c>
      <c r="H91">
        <v>34</v>
      </c>
      <c r="I91" t="s">
        <v>1</v>
      </c>
      <c r="J91" t="s">
        <v>1</v>
      </c>
      <c r="K91" t="s">
        <v>1</v>
      </c>
      <c r="L91" t="s">
        <v>1</v>
      </c>
      <c r="M91">
        <v>32.5</v>
      </c>
      <c r="N91">
        <v>48.5</v>
      </c>
      <c r="O91">
        <v>44</v>
      </c>
      <c r="P91">
        <v>32</v>
      </c>
      <c r="Q91" t="s">
        <v>1</v>
      </c>
      <c r="R91" t="s">
        <v>1</v>
      </c>
      <c r="S91">
        <v>19</v>
      </c>
      <c r="T91">
        <v>25</v>
      </c>
    </row>
    <row r="92" spans="1:20">
      <c r="A92">
        <v>1459532</v>
      </c>
      <c r="B92" t="s">
        <v>2</v>
      </c>
      <c r="C92">
        <v>262.5</v>
      </c>
      <c r="D92" s="1">
        <v>0.64019999999999999</v>
      </c>
      <c r="E92" t="s">
        <v>146</v>
      </c>
      <c r="F92">
        <v>47</v>
      </c>
      <c r="G92">
        <v>34</v>
      </c>
      <c r="H92">
        <v>35</v>
      </c>
      <c r="I92">
        <v>44</v>
      </c>
      <c r="J92">
        <v>41</v>
      </c>
      <c r="K92">
        <v>30.5</v>
      </c>
      <c r="L92">
        <v>31</v>
      </c>
      <c r="M92" t="s">
        <v>1</v>
      </c>
      <c r="N92" t="s">
        <v>1</v>
      </c>
      <c r="O92" t="s">
        <v>1</v>
      </c>
      <c r="P92" t="s">
        <v>1</v>
      </c>
      <c r="Q92" t="s">
        <v>1</v>
      </c>
      <c r="R92" t="s">
        <v>1</v>
      </c>
      <c r="S92">
        <v>16</v>
      </c>
      <c r="T92">
        <v>25</v>
      </c>
    </row>
    <row r="93" spans="1:20">
      <c r="A93">
        <v>1459555</v>
      </c>
      <c r="B93" t="s">
        <v>25</v>
      </c>
      <c r="C93">
        <v>262</v>
      </c>
      <c r="D93" s="1">
        <v>0.63900000000000001</v>
      </c>
      <c r="E93" t="s">
        <v>146</v>
      </c>
      <c r="F93">
        <v>63</v>
      </c>
      <c r="G93">
        <v>26</v>
      </c>
      <c r="H93">
        <v>31</v>
      </c>
      <c r="I93">
        <v>49</v>
      </c>
      <c r="J93">
        <v>33</v>
      </c>
      <c r="K93">
        <v>30</v>
      </c>
      <c r="L93">
        <v>30</v>
      </c>
      <c r="M93" t="s">
        <v>1</v>
      </c>
      <c r="N93" t="s">
        <v>1</v>
      </c>
      <c r="O93" t="s">
        <v>1</v>
      </c>
      <c r="P93" t="s">
        <v>1</v>
      </c>
      <c r="Q93" t="s">
        <v>1</v>
      </c>
      <c r="R93" t="s">
        <v>1</v>
      </c>
      <c r="S93">
        <v>20</v>
      </c>
      <c r="T93">
        <v>26</v>
      </c>
    </row>
    <row r="94" spans="1:20">
      <c r="A94">
        <v>1459634</v>
      </c>
      <c r="B94" t="s">
        <v>104</v>
      </c>
      <c r="C94">
        <v>262</v>
      </c>
      <c r="D94" s="1">
        <v>0.63900000000000001</v>
      </c>
      <c r="E94" t="s">
        <v>146</v>
      </c>
      <c r="F94">
        <v>47</v>
      </c>
      <c r="G94">
        <v>36</v>
      </c>
      <c r="H94">
        <v>39.5</v>
      </c>
      <c r="I94" t="s">
        <v>1</v>
      </c>
      <c r="J94" t="s">
        <v>1</v>
      </c>
      <c r="K94" t="s">
        <v>1</v>
      </c>
      <c r="L94" t="s">
        <v>1</v>
      </c>
      <c r="M94">
        <v>30</v>
      </c>
      <c r="N94">
        <v>33.5</v>
      </c>
      <c r="O94">
        <v>46</v>
      </c>
      <c r="P94">
        <v>30</v>
      </c>
      <c r="Q94" t="s">
        <v>1</v>
      </c>
      <c r="R94" t="s">
        <v>1</v>
      </c>
      <c r="S94">
        <v>20</v>
      </c>
      <c r="T94">
        <v>31</v>
      </c>
    </row>
    <row r="95" spans="1:20">
      <c r="A95">
        <v>1459642</v>
      </c>
      <c r="B95" t="s">
        <v>112</v>
      </c>
      <c r="C95">
        <v>261</v>
      </c>
      <c r="D95" s="1">
        <v>0.63660000000000005</v>
      </c>
      <c r="E95" t="s">
        <v>147</v>
      </c>
      <c r="F95">
        <v>52.5</v>
      </c>
      <c r="G95">
        <v>33</v>
      </c>
      <c r="H95">
        <v>36.5</v>
      </c>
      <c r="I95" t="s">
        <v>1</v>
      </c>
      <c r="J95" t="s">
        <v>1</v>
      </c>
      <c r="K95" t="s">
        <v>1</v>
      </c>
      <c r="L95" t="s">
        <v>1</v>
      </c>
      <c r="M95">
        <v>14</v>
      </c>
      <c r="N95">
        <v>46</v>
      </c>
      <c r="O95">
        <v>49</v>
      </c>
      <c r="P95">
        <v>30</v>
      </c>
      <c r="Q95" t="s">
        <v>1</v>
      </c>
      <c r="R95" t="s">
        <v>1</v>
      </c>
      <c r="S95">
        <v>21</v>
      </c>
      <c r="T95">
        <v>25</v>
      </c>
    </row>
    <row r="96" spans="1:20">
      <c r="A96">
        <v>1459590</v>
      </c>
      <c r="B96" t="s">
        <v>60</v>
      </c>
      <c r="C96">
        <v>260.5</v>
      </c>
      <c r="D96" s="1">
        <v>0.63539999999999996</v>
      </c>
      <c r="E96" t="s">
        <v>146</v>
      </c>
      <c r="F96">
        <v>53</v>
      </c>
      <c r="G96">
        <v>32</v>
      </c>
      <c r="H96">
        <v>29.5</v>
      </c>
      <c r="I96" t="s">
        <v>1</v>
      </c>
      <c r="J96" t="s">
        <v>1</v>
      </c>
      <c r="K96" t="s">
        <v>1</v>
      </c>
      <c r="L96" t="s">
        <v>1</v>
      </c>
      <c r="M96">
        <v>30</v>
      </c>
      <c r="N96">
        <v>34</v>
      </c>
      <c r="O96">
        <v>50.5</v>
      </c>
      <c r="P96">
        <v>31.5</v>
      </c>
      <c r="Q96" t="s">
        <v>1</v>
      </c>
      <c r="R96" t="s">
        <v>1</v>
      </c>
      <c r="S96">
        <v>17</v>
      </c>
      <c r="T96">
        <v>25</v>
      </c>
    </row>
    <row r="97" spans="1:20">
      <c r="A97">
        <v>1459538</v>
      </c>
      <c r="B97" t="s">
        <v>8</v>
      </c>
      <c r="C97">
        <v>260</v>
      </c>
      <c r="D97" s="1">
        <v>0.6341</v>
      </c>
      <c r="E97" t="s">
        <v>146</v>
      </c>
      <c r="F97">
        <v>40</v>
      </c>
      <c r="G97">
        <v>40</v>
      </c>
      <c r="H97">
        <v>32</v>
      </c>
      <c r="I97">
        <v>45.5</v>
      </c>
      <c r="J97">
        <v>32</v>
      </c>
      <c r="K97">
        <v>37.5</v>
      </c>
      <c r="L97">
        <v>33</v>
      </c>
      <c r="M97" t="s">
        <v>1</v>
      </c>
      <c r="N97" t="s">
        <v>1</v>
      </c>
      <c r="O97" t="s">
        <v>1</v>
      </c>
      <c r="P97" t="s">
        <v>1</v>
      </c>
      <c r="Q97" t="s">
        <v>1</v>
      </c>
      <c r="R97" t="s">
        <v>1</v>
      </c>
      <c r="S97">
        <v>14</v>
      </c>
      <c r="T97">
        <v>28</v>
      </c>
    </row>
    <row r="98" spans="1:20">
      <c r="A98">
        <v>1459558</v>
      </c>
      <c r="B98" t="s">
        <v>28</v>
      </c>
      <c r="C98">
        <v>259.5</v>
      </c>
      <c r="D98" s="1">
        <v>0.63290000000000002</v>
      </c>
      <c r="E98" t="s">
        <v>146</v>
      </c>
      <c r="F98">
        <v>56.5</v>
      </c>
      <c r="G98">
        <v>30.5</v>
      </c>
      <c r="H98">
        <v>39.5</v>
      </c>
      <c r="I98" t="s">
        <v>1</v>
      </c>
      <c r="J98" t="s">
        <v>1</v>
      </c>
      <c r="K98" t="s">
        <v>1</v>
      </c>
      <c r="L98" t="s">
        <v>1</v>
      </c>
      <c r="M98">
        <v>30</v>
      </c>
      <c r="N98">
        <v>30</v>
      </c>
      <c r="O98">
        <v>43</v>
      </c>
      <c r="P98">
        <v>30</v>
      </c>
      <c r="Q98" t="s">
        <v>1</v>
      </c>
      <c r="R98" t="s">
        <v>1</v>
      </c>
      <c r="S98">
        <v>19</v>
      </c>
      <c r="T98">
        <v>26</v>
      </c>
    </row>
    <row r="99" spans="1:20">
      <c r="A99">
        <v>1459647</v>
      </c>
      <c r="B99" t="s">
        <v>117</v>
      </c>
      <c r="C99">
        <v>259</v>
      </c>
      <c r="D99" s="1">
        <v>0.63170000000000004</v>
      </c>
      <c r="E99" t="s">
        <v>146</v>
      </c>
      <c r="F99">
        <v>55.5</v>
      </c>
      <c r="G99">
        <v>25</v>
      </c>
      <c r="H99">
        <v>26</v>
      </c>
      <c r="I99" t="s">
        <v>1</v>
      </c>
      <c r="J99" t="s">
        <v>1</v>
      </c>
      <c r="K99" t="s">
        <v>1</v>
      </c>
      <c r="L99" t="s">
        <v>1</v>
      </c>
      <c r="M99">
        <v>30</v>
      </c>
      <c r="N99">
        <v>44</v>
      </c>
      <c r="O99">
        <v>48.5</v>
      </c>
      <c r="P99">
        <v>30</v>
      </c>
      <c r="Q99" t="s">
        <v>1</v>
      </c>
      <c r="R99" t="s">
        <v>1</v>
      </c>
      <c r="S99">
        <v>15</v>
      </c>
      <c r="T99">
        <v>26</v>
      </c>
    </row>
    <row r="100" spans="1:20">
      <c r="A100">
        <v>1459648</v>
      </c>
      <c r="B100" t="s">
        <v>118</v>
      </c>
      <c r="C100">
        <v>259</v>
      </c>
      <c r="D100" s="1">
        <v>0.63170000000000004</v>
      </c>
      <c r="E100" t="s">
        <v>147</v>
      </c>
      <c r="F100">
        <v>61.5</v>
      </c>
      <c r="G100">
        <v>34</v>
      </c>
      <c r="H100">
        <v>38.5</v>
      </c>
      <c r="I100" t="s">
        <v>1</v>
      </c>
      <c r="J100" t="s">
        <v>1</v>
      </c>
      <c r="K100" t="s">
        <v>1</v>
      </c>
      <c r="L100" t="s">
        <v>1</v>
      </c>
      <c r="M100">
        <v>30</v>
      </c>
      <c r="N100">
        <v>36.5</v>
      </c>
      <c r="O100">
        <v>47</v>
      </c>
      <c r="P100">
        <v>11.5</v>
      </c>
      <c r="Q100" t="s">
        <v>1</v>
      </c>
      <c r="R100" t="s">
        <v>1</v>
      </c>
      <c r="S100">
        <v>18</v>
      </c>
      <c r="T100">
        <v>25</v>
      </c>
    </row>
    <row r="101" spans="1:20">
      <c r="A101">
        <v>1459598</v>
      </c>
      <c r="B101" t="s">
        <v>68</v>
      </c>
      <c r="C101">
        <v>258.5</v>
      </c>
      <c r="D101" s="1">
        <v>0.63049999999999995</v>
      </c>
      <c r="E101" t="s">
        <v>146</v>
      </c>
      <c r="F101">
        <v>47.5</v>
      </c>
      <c r="G101">
        <v>48</v>
      </c>
      <c r="H101">
        <v>23</v>
      </c>
      <c r="I101" t="s">
        <v>1</v>
      </c>
      <c r="J101" t="s">
        <v>1</v>
      </c>
      <c r="K101" t="s">
        <v>1</v>
      </c>
      <c r="L101" t="s">
        <v>1</v>
      </c>
      <c r="M101">
        <v>30</v>
      </c>
      <c r="N101">
        <v>35</v>
      </c>
      <c r="O101">
        <v>45</v>
      </c>
      <c r="P101">
        <v>30</v>
      </c>
      <c r="Q101" t="s">
        <v>1</v>
      </c>
      <c r="R101" t="s">
        <v>1</v>
      </c>
      <c r="S101">
        <v>17</v>
      </c>
      <c r="T101">
        <v>25</v>
      </c>
    </row>
    <row r="102" spans="1:20">
      <c r="A102">
        <v>1459633</v>
      </c>
      <c r="B102" t="s">
        <v>103</v>
      </c>
      <c r="C102">
        <v>258.5</v>
      </c>
      <c r="D102" s="1">
        <v>0.63049999999999995</v>
      </c>
      <c r="E102" t="s">
        <v>147</v>
      </c>
      <c r="F102">
        <v>65.5</v>
      </c>
      <c r="G102">
        <v>34</v>
      </c>
      <c r="H102">
        <v>33.5</v>
      </c>
      <c r="I102" t="s">
        <v>1</v>
      </c>
      <c r="J102" t="s">
        <v>1</v>
      </c>
      <c r="K102" t="s">
        <v>1</v>
      </c>
      <c r="L102" t="s">
        <v>1</v>
      </c>
      <c r="M102">
        <v>13</v>
      </c>
      <c r="N102">
        <v>38</v>
      </c>
      <c r="O102">
        <v>44.5</v>
      </c>
      <c r="P102">
        <v>30</v>
      </c>
      <c r="Q102" t="s">
        <v>1</v>
      </c>
      <c r="R102" t="s">
        <v>1</v>
      </c>
      <c r="S102">
        <v>17</v>
      </c>
      <c r="T102">
        <v>25</v>
      </c>
    </row>
    <row r="103" spans="1:20">
      <c r="A103">
        <v>1459641</v>
      </c>
      <c r="B103" t="s">
        <v>111</v>
      </c>
      <c r="C103">
        <v>258.5</v>
      </c>
      <c r="D103" s="1">
        <v>0.63049999999999995</v>
      </c>
      <c r="E103" t="s">
        <v>146</v>
      </c>
      <c r="F103">
        <v>46.5</v>
      </c>
      <c r="G103">
        <v>31</v>
      </c>
      <c r="H103">
        <v>33.5</v>
      </c>
      <c r="I103" t="s">
        <v>1</v>
      </c>
      <c r="J103" t="s">
        <v>1</v>
      </c>
      <c r="K103" t="s">
        <v>1</v>
      </c>
      <c r="L103" t="s">
        <v>1</v>
      </c>
      <c r="M103">
        <v>30</v>
      </c>
      <c r="N103">
        <v>42</v>
      </c>
      <c r="O103">
        <v>45.5</v>
      </c>
      <c r="P103">
        <v>30</v>
      </c>
      <c r="Q103" t="s">
        <v>1</v>
      </c>
      <c r="R103" t="s">
        <v>1</v>
      </c>
      <c r="S103">
        <v>19</v>
      </c>
      <c r="T103">
        <v>26</v>
      </c>
    </row>
    <row r="104" spans="1:20">
      <c r="A104">
        <v>1459547</v>
      </c>
      <c r="B104" t="s">
        <v>17</v>
      </c>
      <c r="C104">
        <v>258</v>
      </c>
      <c r="D104" s="1">
        <v>0.62929999999999997</v>
      </c>
      <c r="E104" t="s">
        <v>146</v>
      </c>
      <c r="F104">
        <v>40</v>
      </c>
      <c r="G104">
        <v>36</v>
      </c>
      <c r="H104">
        <v>28</v>
      </c>
      <c r="I104">
        <v>45</v>
      </c>
      <c r="J104">
        <v>31</v>
      </c>
      <c r="K104">
        <v>41</v>
      </c>
      <c r="L104">
        <v>37</v>
      </c>
      <c r="M104" t="s">
        <v>1</v>
      </c>
      <c r="N104" t="s">
        <v>1</v>
      </c>
      <c r="O104" t="s">
        <v>1</v>
      </c>
      <c r="P104" t="s">
        <v>1</v>
      </c>
      <c r="Q104" t="s">
        <v>1</v>
      </c>
      <c r="R104" t="s">
        <v>1</v>
      </c>
      <c r="S104">
        <v>20</v>
      </c>
      <c r="T104">
        <v>25</v>
      </c>
    </row>
    <row r="105" spans="1:20">
      <c r="A105">
        <v>1459552</v>
      </c>
      <c r="B105" t="s">
        <v>22</v>
      </c>
      <c r="C105">
        <v>257.5</v>
      </c>
      <c r="D105" s="1">
        <v>0.628</v>
      </c>
      <c r="E105" t="s">
        <v>146</v>
      </c>
      <c r="F105">
        <v>64.5</v>
      </c>
      <c r="G105">
        <v>26</v>
      </c>
      <c r="H105">
        <v>31.5</v>
      </c>
      <c r="I105">
        <v>39.5</v>
      </c>
      <c r="J105">
        <v>33</v>
      </c>
      <c r="K105">
        <v>33</v>
      </c>
      <c r="L105">
        <v>30</v>
      </c>
      <c r="M105" t="s">
        <v>1</v>
      </c>
      <c r="N105" t="s">
        <v>1</v>
      </c>
      <c r="O105" t="s">
        <v>1</v>
      </c>
      <c r="P105" t="s">
        <v>1</v>
      </c>
      <c r="Q105" t="s">
        <v>1</v>
      </c>
      <c r="R105" t="s">
        <v>1</v>
      </c>
      <c r="S105">
        <v>15</v>
      </c>
      <c r="T105">
        <v>25</v>
      </c>
    </row>
    <row r="106" spans="1:20">
      <c r="A106">
        <v>1459580</v>
      </c>
      <c r="B106" t="s">
        <v>50</v>
      </c>
      <c r="C106">
        <v>257.5</v>
      </c>
      <c r="D106" s="1">
        <v>0.628</v>
      </c>
      <c r="E106" t="s">
        <v>146</v>
      </c>
      <c r="F106">
        <v>48</v>
      </c>
      <c r="G106">
        <v>29</v>
      </c>
      <c r="H106">
        <v>39</v>
      </c>
      <c r="I106" t="s">
        <v>1</v>
      </c>
      <c r="J106" t="s">
        <v>1</v>
      </c>
      <c r="K106" t="s">
        <v>1</v>
      </c>
      <c r="L106" t="s">
        <v>1</v>
      </c>
      <c r="M106">
        <v>38</v>
      </c>
      <c r="N106">
        <v>30.5</v>
      </c>
      <c r="O106">
        <v>41.5</v>
      </c>
      <c r="P106">
        <v>31.5</v>
      </c>
      <c r="Q106" t="s">
        <v>1</v>
      </c>
      <c r="R106" t="s">
        <v>1</v>
      </c>
      <c r="S106">
        <v>18</v>
      </c>
      <c r="T106">
        <v>28</v>
      </c>
    </row>
    <row r="107" spans="1:20">
      <c r="A107">
        <v>1459640</v>
      </c>
      <c r="B107" t="s">
        <v>110</v>
      </c>
      <c r="C107">
        <v>257.5</v>
      </c>
      <c r="D107" s="1">
        <v>0.628</v>
      </c>
      <c r="E107" t="s">
        <v>146</v>
      </c>
      <c r="F107">
        <v>50.5</v>
      </c>
      <c r="G107">
        <v>37</v>
      </c>
      <c r="H107">
        <v>31</v>
      </c>
      <c r="I107" t="s">
        <v>1</v>
      </c>
      <c r="J107" t="s">
        <v>1</v>
      </c>
      <c r="K107" t="s">
        <v>1</v>
      </c>
      <c r="L107" t="s">
        <v>1</v>
      </c>
      <c r="M107">
        <v>30</v>
      </c>
      <c r="N107">
        <v>36.5</v>
      </c>
      <c r="O107">
        <v>42.5</v>
      </c>
      <c r="P107">
        <v>30</v>
      </c>
      <c r="Q107" t="s">
        <v>1</v>
      </c>
      <c r="R107" t="s">
        <v>1</v>
      </c>
      <c r="S107">
        <v>20</v>
      </c>
      <c r="T107">
        <v>26</v>
      </c>
    </row>
    <row r="108" spans="1:20">
      <c r="A108">
        <v>1459570</v>
      </c>
      <c r="B108" t="s">
        <v>40</v>
      </c>
      <c r="C108">
        <v>251.5</v>
      </c>
      <c r="D108" s="1">
        <v>0.61339999999999995</v>
      </c>
      <c r="E108" t="s">
        <v>146</v>
      </c>
      <c r="F108">
        <v>53</v>
      </c>
      <c r="G108">
        <v>32</v>
      </c>
      <c r="H108">
        <v>39.5</v>
      </c>
      <c r="I108" t="s">
        <v>1</v>
      </c>
      <c r="J108" t="s">
        <v>1</v>
      </c>
      <c r="K108" t="s">
        <v>1</v>
      </c>
      <c r="L108" t="s">
        <v>1</v>
      </c>
      <c r="M108">
        <v>30</v>
      </c>
      <c r="N108">
        <v>30.5</v>
      </c>
      <c r="O108">
        <v>36.5</v>
      </c>
      <c r="P108">
        <v>30</v>
      </c>
      <c r="Q108" t="s">
        <v>1</v>
      </c>
      <c r="R108" t="s">
        <v>1</v>
      </c>
      <c r="S108">
        <v>18</v>
      </c>
      <c r="T108">
        <v>25</v>
      </c>
    </row>
    <row r="109" spans="1:20">
      <c r="A109">
        <v>1459632</v>
      </c>
      <c r="B109" t="s">
        <v>102</v>
      </c>
      <c r="C109">
        <v>250</v>
      </c>
      <c r="D109" s="1">
        <v>0.60980000000000001</v>
      </c>
      <c r="E109" t="s">
        <v>146</v>
      </c>
      <c r="F109">
        <v>56.5</v>
      </c>
      <c r="G109">
        <v>33.5</v>
      </c>
      <c r="H109">
        <v>33.5</v>
      </c>
      <c r="I109" t="s">
        <v>1</v>
      </c>
      <c r="J109" t="s">
        <v>1</v>
      </c>
      <c r="K109" t="s">
        <v>1</v>
      </c>
      <c r="L109" t="s">
        <v>1</v>
      </c>
      <c r="M109">
        <v>30</v>
      </c>
      <c r="N109">
        <v>30</v>
      </c>
      <c r="O109">
        <v>36.5</v>
      </c>
      <c r="P109">
        <v>30</v>
      </c>
      <c r="Q109" t="s">
        <v>1</v>
      </c>
      <c r="R109" t="s">
        <v>1</v>
      </c>
      <c r="S109">
        <v>20</v>
      </c>
      <c r="T109">
        <v>25</v>
      </c>
    </row>
    <row r="110" spans="1:20">
      <c r="A110">
        <v>1459534</v>
      </c>
      <c r="B110" t="s">
        <v>4</v>
      </c>
      <c r="C110">
        <v>246</v>
      </c>
      <c r="D110" s="1">
        <v>0.6</v>
      </c>
      <c r="E110" t="s">
        <v>147</v>
      </c>
      <c r="F110">
        <v>15.5</v>
      </c>
      <c r="G110">
        <v>40</v>
      </c>
      <c r="H110">
        <v>27</v>
      </c>
      <c r="I110">
        <v>44</v>
      </c>
      <c r="J110">
        <v>38</v>
      </c>
      <c r="K110">
        <v>43.5</v>
      </c>
      <c r="L110">
        <v>38</v>
      </c>
      <c r="M110" t="s">
        <v>1</v>
      </c>
      <c r="N110" t="s">
        <v>1</v>
      </c>
      <c r="O110" t="s">
        <v>1</v>
      </c>
      <c r="P110" t="s">
        <v>1</v>
      </c>
      <c r="Q110" t="s">
        <v>1</v>
      </c>
      <c r="R110" t="s">
        <v>1</v>
      </c>
      <c r="S110">
        <v>18</v>
      </c>
      <c r="T110">
        <v>25</v>
      </c>
    </row>
    <row r="111" spans="1:20">
      <c r="A111">
        <v>1459539</v>
      </c>
      <c r="B111" t="s">
        <v>9</v>
      </c>
      <c r="C111">
        <v>246</v>
      </c>
      <c r="D111" s="1">
        <v>0.6</v>
      </c>
      <c r="E111" t="s">
        <v>146</v>
      </c>
      <c r="F111">
        <v>40</v>
      </c>
      <c r="G111">
        <v>29</v>
      </c>
      <c r="H111">
        <v>20</v>
      </c>
      <c r="I111">
        <v>42.5</v>
      </c>
      <c r="J111">
        <v>34.5</v>
      </c>
      <c r="K111">
        <v>42</v>
      </c>
      <c r="L111">
        <v>38</v>
      </c>
      <c r="M111" t="s">
        <v>1</v>
      </c>
      <c r="N111" t="s">
        <v>1</v>
      </c>
      <c r="O111" t="s">
        <v>1</v>
      </c>
      <c r="P111" t="s">
        <v>1</v>
      </c>
      <c r="Q111" t="s">
        <v>1</v>
      </c>
      <c r="R111" t="s">
        <v>1</v>
      </c>
      <c r="S111">
        <v>13</v>
      </c>
      <c r="T111">
        <v>25</v>
      </c>
    </row>
    <row r="112" spans="1:20">
      <c r="A112">
        <v>1459608</v>
      </c>
      <c r="B112" t="s">
        <v>78</v>
      </c>
      <c r="C112">
        <v>240.5</v>
      </c>
      <c r="D112" s="1">
        <v>0.58660000000000001</v>
      </c>
      <c r="E112" t="s">
        <v>146</v>
      </c>
      <c r="F112">
        <v>54</v>
      </c>
      <c r="G112">
        <v>35</v>
      </c>
      <c r="H112">
        <v>23.5</v>
      </c>
      <c r="I112" t="s">
        <v>1</v>
      </c>
      <c r="J112" t="s">
        <v>1</v>
      </c>
      <c r="K112" t="s">
        <v>1</v>
      </c>
      <c r="L112" t="s">
        <v>1</v>
      </c>
      <c r="M112">
        <v>30</v>
      </c>
      <c r="N112">
        <v>30</v>
      </c>
      <c r="O112">
        <v>38</v>
      </c>
      <c r="P112">
        <v>30</v>
      </c>
      <c r="Q112" t="s">
        <v>1</v>
      </c>
      <c r="R112" t="s">
        <v>1</v>
      </c>
      <c r="S112">
        <v>19</v>
      </c>
      <c r="T112">
        <v>27</v>
      </c>
    </row>
    <row r="113" spans="1:20">
      <c r="A113">
        <v>1459549</v>
      </c>
      <c r="B113" t="s">
        <v>19</v>
      </c>
      <c r="C113">
        <v>240</v>
      </c>
      <c r="D113" s="1">
        <v>0.58540000000000003</v>
      </c>
      <c r="E113" t="s">
        <v>147</v>
      </c>
      <c r="F113">
        <v>29</v>
      </c>
      <c r="G113">
        <v>32</v>
      </c>
      <c r="H113">
        <v>29.5</v>
      </c>
      <c r="I113">
        <v>42.5</v>
      </c>
      <c r="J113">
        <v>30</v>
      </c>
      <c r="K113">
        <v>41</v>
      </c>
      <c r="L113">
        <v>36</v>
      </c>
      <c r="M113" t="s">
        <v>1</v>
      </c>
      <c r="N113" t="s">
        <v>1</v>
      </c>
      <c r="O113" t="s">
        <v>1</v>
      </c>
      <c r="P113" t="s">
        <v>1</v>
      </c>
      <c r="Q113" t="s">
        <v>1</v>
      </c>
      <c r="R113" t="s">
        <v>1</v>
      </c>
      <c r="S113">
        <v>9</v>
      </c>
      <c r="T113">
        <v>25</v>
      </c>
    </row>
    <row r="114" spans="1:20">
      <c r="A114">
        <v>1459635</v>
      </c>
      <c r="B114" t="s">
        <v>105</v>
      </c>
      <c r="C114">
        <v>238.5</v>
      </c>
      <c r="D114" s="1">
        <v>0.58169999999999999</v>
      </c>
      <c r="E114" t="s">
        <v>147</v>
      </c>
      <c r="F114">
        <v>52.5</v>
      </c>
      <c r="G114">
        <v>36</v>
      </c>
      <c r="H114">
        <v>38.5</v>
      </c>
      <c r="I114" t="s">
        <v>1</v>
      </c>
      <c r="J114" t="s">
        <v>1</v>
      </c>
      <c r="K114" t="s">
        <v>1</v>
      </c>
      <c r="L114" t="s">
        <v>1</v>
      </c>
      <c r="M114">
        <v>30</v>
      </c>
      <c r="N114">
        <v>36.5</v>
      </c>
      <c r="O114">
        <v>32</v>
      </c>
      <c r="P114">
        <v>13</v>
      </c>
      <c r="Q114" t="s">
        <v>1</v>
      </c>
      <c r="R114" t="s">
        <v>1</v>
      </c>
      <c r="S114">
        <v>18</v>
      </c>
      <c r="T114">
        <v>25</v>
      </c>
    </row>
    <row r="115" spans="1:20">
      <c r="A115">
        <v>1459595</v>
      </c>
      <c r="B115" t="s">
        <v>65</v>
      </c>
      <c r="C115">
        <v>237</v>
      </c>
      <c r="D115" s="1">
        <v>0.57799999999999996</v>
      </c>
      <c r="E115" t="s">
        <v>147</v>
      </c>
      <c r="F115">
        <v>57</v>
      </c>
      <c r="G115">
        <v>35</v>
      </c>
      <c r="H115">
        <v>28.5</v>
      </c>
      <c r="I115" t="s">
        <v>1</v>
      </c>
      <c r="J115" t="s">
        <v>1</v>
      </c>
      <c r="K115" t="s">
        <v>1</v>
      </c>
      <c r="L115" t="s">
        <v>1</v>
      </c>
      <c r="M115">
        <v>30</v>
      </c>
      <c r="N115">
        <v>30</v>
      </c>
      <c r="O115">
        <v>26.5</v>
      </c>
      <c r="P115">
        <v>30</v>
      </c>
      <c r="Q115" t="s">
        <v>1</v>
      </c>
      <c r="R115" t="s">
        <v>1</v>
      </c>
      <c r="S115">
        <v>15</v>
      </c>
      <c r="T115">
        <v>28</v>
      </c>
    </row>
    <row r="116" spans="1:20">
      <c r="A116">
        <v>1459652</v>
      </c>
      <c r="B116" t="s">
        <v>123</v>
      </c>
      <c r="C116">
        <v>236.5</v>
      </c>
      <c r="D116" s="1">
        <v>0.57679999999999998</v>
      </c>
      <c r="E116" t="s">
        <v>146</v>
      </c>
      <c r="F116">
        <v>53.5</v>
      </c>
      <c r="G116">
        <v>30</v>
      </c>
      <c r="H116">
        <v>25</v>
      </c>
      <c r="I116" t="s">
        <v>1</v>
      </c>
      <c r="J116" t="s">
        <v>1</v>
      </c>
      <c r="K116" t="s">
        <v>1</v>
      </c>
      <c r="L116" t="s">
        <v>1</v>
      </c>
      <c r="M116">
        <v>30</v>
      </c>
      <c r="N116" t="s">
        <v>1</v>
      </c>
      <c r="O116" t="s">
        <v>1</v>
      </c>
      <c r="P116">
        <v>38</v>
      </c>
      <c r="Q116">
        <v>30</v>
      </c>
      <c r="R116">
        <v>30</v>
      </c>
      <c r="S116">
        <v>19</v>
      </c>
      <c r="T116">
        <v>25</v>
      </c>
    </row>
    <row r="117" spans="1:20">
      <c r="A117">
        <v>1459613</v>
      </c>
      <c r="B117" t="s">
        <v>83</v>
      </c>
      <c r="C117">
        <v>235</v>
      </c>
      <c r="D117" s="1">
        <v>0.57320000000000004</v>
      </c>
      <c r="E117" t="s">
        <v>147</v>
      </c>
      <c r="F117">
        <v>63</v>
      </c>
      <c r="G117">
        <v>11</v>
      </c>
      <c r="H117">
        <v>20</v>
      </c>
      <c r="I117" t="s">
        <v>1</v>
      </c>
      <c r="J117" t="s">
        <v>1</v>
      </c>
      <c r="K117" t="s">
        <v>1</v>
      </c>
      <c r="L117" t="s">
        <v>1</v>
      </c>
      <c r="M117">
        <v>30</v>
      </c>
      <c r="N117">
        <v>45.5</v>
      </c>
      <c r="O117">
        <v>35.5</v>
      </c>
      <c r="P117">
        <v>30</v>
      </c>
      <c r="Q117" t="s">
        <v>1</v>
      </c>
      <c r="R117" t="s">
        <v>1</v>
      </c>
      <c r="S117">
        <v>18</v>
      </c>
      <c r="T117">
        <v>31</v>
      </c>
    </row>
    <row r="118" spans="1:20">
      <c r="A118">
        <v>1459542</v>
      </c>
      <c r="B118" t="s">
        <v>12</v>
      </c>
      <c r="C118">
        <v>234.5</v>
      </c>
      <c r="D118" s="1">
        <v>0.57199999999999995</v>
      </c>
      <c r="E118" t="s">
        <v>146</v>
      </c>
      <c r="F118">
        <v>40.5</v>
      </c>
      <c r="G118">
        <v>43</v>
      </c>
      <c r="H118">
        <v>25</v>
      </c>
      <c r="I118">
        <v>30</v>
      </c>
      <c r="J118">
        <v>30</v>
      </c>
      <c r="K118">
        <v>33</v>
      </c>
      <c r="L118">
        <v>33</v>
      </c>
      <c r="M118" t="s">
        <v>1</v>
      </c>
      <c r="N118" t="s">
        <v>1</v>
      </c>
      <c r="O118" t="s">
        <v>1</v>
      </c>
      <c r="P118" t="s">
        <v>1</v>
      </c>
      <c r="Q118" t="s">
        <v>1</v>
      </c>
      <c r="R118" t="s">
        <v>1</v>
      </c>
      <c r="S118">
        <v>19</v>
      </c>
      <c r="T118">
        <v>25</v>
      </c>
    </row>
    <row r="119" spans="1:20">
      <c r="A119">
        <v>1459653</v>
      </c>
      <c r="B119" t="s">
        <v>124</v>
      </c>
      <c r="C119">
        <v>228</v>
      </c>
      <c r="D119" s="1">
        <v>0.55610000000000004</v>
      </c>
      <c r="E119" t="s">
        <v>147</v>
      </c>
      <c r="F119">
        <v>58.5</v>
      </c>
      <c r="G119">
        <v>27</v>
      </c>
      <c r="H119">
        <v>31.5</v>
      </c>
      <c r="I119" t="s">
        <v>1</v>
      </c>
      <c r="J119" t="s">
        <v>1</v>
      </c>
      <c r="K119" t="s">
        <v>1</v>
      </c>
      <c r="L119" t="s">
        <v>1</v>
      </c>
      <c r="M119">
        <v>30</v>
      </c>
      <c r="N119" t="s">
        <v>1</v>
      </c>
      <c r="O119" t="s">
        <v>1</v>
      </c>
      <c r="P119">
        <v>30</v>
      </c>
      <c r="Q119">
        <v>21</v>
      </c>
      <c r="R119">
        <v>30</v>
      </c>
      <c r="S119">
        <v>21</v>
      </c>
      <c r="T119">
        <v>29</v>
      </c>
    </row>
    <row r="120" spans="1:20">
      <c r="A120">
        <v>1459579</v>
      </c>
      <c r="B120" t="s">
        <v>49</v>
      </c>
      <c r="C120">
        <v>227</v>
      </c>
      <c r="D120" s="1">
        <v>0.55369999999999997</v>
      </c>
      <c r="E120" t="s">
        <v>147</v>
      </c>
      <c r="F120">
        <v>26</v>
      </c>
      <c r="G120">
        <v>28</v>
      </c>
      <c r="H120">
        <v>26.5</v>
      </c>
      <c r="I120" t="s">
        <v>1</v>
      </c>
      <c r="J120" t="s">
        <v>1</v>
      </c>
      <c r="K120" t="s">
        <v>1</v>
      </c>
      <c r="L120" t="s">
        <v>1</v>
      </c>
      <c r="M120">
        <v>41</v>
      </c>
      <c r="N120">
        <v>36.5</v>
      </c>
      <c r="O120">
        <v>39</v>
      </c>
      <c r="P120">
        <v>30</v>
      </c>
      <c r="Q120" t="s">
        <v>1</v>
      </c>
      <c r="R120" t="s">
        <v>1</v>
      </c>
      <c r="S120">
        <v>15</v>
      </c>
      <c r="T120">
        <v>25</v>
      </c>
    </row>
    <row r="121" spans="1:20">
      <c r="A121">
        <v>1459650</v>
      </c>
      <c r="B121" t="s">
        <v>121</v>
      </c>
      <c r="C121">
        <v>223.5</v>
      </c>
      <c r="D121" s="1">
        <v>0.54510000000000003</v>
      </c>
      <c r="E121" t="s">
        <v>146</v>
      </c>
      <c r="F121">
        <v>41.5</v>
      </c>
      <c r="G121">
        <v>25.5</v>
      </c>
      <c r="H121">
        <v>36.5</v>
      </c>
      <c r="I121" t="s">
        <v>1</v>
      </c>
      <c r="J121" t="s">
        <v>1</v>
      </c>
      <c r="K121" t="s">
        <v>1</v>
      </c>
      <c r="L121" t="s">
        <v>1</v>
      </c>
      <c r="M121">
        <v>30</v>
      </c>
      <c r="N121" t="s">
        <v>1</v>
      </c>
      <c r="O121" t="s">
        <v>1</v>
      </c>
      <c r="P121">
        <v>30</v>
      </c>
      <c r="Q121">
        <v>30</v>
      </c>
      <c r="R121">
        <v>30</v>
      </c>
      <c r="S121">
        <v>18</v>
      </c>
      <c r="T121">
        <v>25</v>
      </c>
    </row>
    <row r="122" spans="1:20">
      <c r="A122">
        <v>1459654</v>
      </c>
      <c r="B122" t="s">
        <v>125</v>
      </c>
      <c r="C122">
        <v>220.5</v>
      </c>
      <c r="D122" s="1">
        <v>0.53779999999999994</v>
      </c>
      <c r="E122" t="s">
        <v>147</v>
      </c>
      <c r="F122">
        <v>50.5</v>
      </c>
      <c r="G122">
        <v>27.5</v>
      </c>
      <c r="H122">
        <v>32.5</v>
      </c>
      <c r="I122" t="s">
        <v>1</v>
      </c>
      <c r="J122" t="s">
        <v>1</v>
      </c>
      <c r="K122" t="s">
        <v>1</v>
      </c>
      <c r="L122" t="s">
        <v>1</v>
      </c>
      <c r="M122">
        <v>30</v>
      </c>
      <c r="N122" t="s">
        <v>1</v>
      </c>
      <c r="O122" t="s">
        <v>1</v>
      </c>
      <c r="P122">
        <v>30</v>
      </c>
      <c r="Q122">
        <v>20</v>
      </c>
      <c r="R122">
        <v>30</v>
      </c>
      <c r="S122">
        <v>16</v>
      </c>
      <c r="T122">
        <v>25</v>
      </c>
    </row>
    <row r="123" spans="1:20">
      <c r="A123">
        <v>1459630</v>
      </c>
      <c r="B123" t="s">
        <v>100</v>
      </c>
      <c r="C123">
        <v>216</v>
      </c>
      <c r="D123" s="1">
        <v>0.52680000000000005</v>
      </c>
      <c r="E123" t="s">
        <v>147</v>
      </c>
      <c r="F123">
        <v>52.5</v>
      </c>
      <c r="G123">
        <v>25</v>
      </c>
      <c r="H123">
        <v>26</v>
      </c>
      <c r="I123" t="s">
        <v>1</v>
      </c>
      <c r="J123" t="s">
        <v>1</v>
      </c>
      <c r="K123" t="s">
        <v>1</v>
      </c>
      <c r="L123" t="s">
        <v>1</v>
      </c>
      <c r="M123">
        <v>13</v>
      </c>
      <c r="N123">
        <v>30</v>
      </c>
      <c r="O123">
        <v>39.5</v>
      </c>
      <c r="P123">
        <v>30</v>
      </c>
      <c r="Q123" t="s">
        <v>1</v>
      </c>
      <c r="R123" t="s">
        <v>1</v>
      </c>
      <c r="S123">
        <v>19</v>
      </c>
      <c r="T123">
        <v>25</v>
      </c>
    </row>
    <row r="124" spans="1:20">
      <c r="A124">
        <v>1459572</v>
      </c>
      <c r="B124" t="s">
        <v>42</v>
      </c>
      <c r="C124">
        <v>189</v>
      </c>
      <c r="D124" s="1">
        <v>0.46100000000000002</v>
      </c>
      <c r="E124" t="s">
        <v>147</v>
      </c>
      <c r="F124">
        <v>40</v>
      </c>
      <c r="G124">
        <v>7</v>
      </c>
      <c r="H124">
        <v>21</v>
      </c>
      <c r="I124" t="s">
        <v>1</v>
      </c>
      <c r="J124" t="s">
        <v>1</v>
      </c>
      <c r="K124" t="s">
        <v>1</v>
      </c>
      <c r="L124" t="s">
        <v>1</v>
      </c>
      <c r="M124">
        <v>30</v>
      </c>
      <c r="N124">
        <v>30</v>
      </c>
      <c r="O124">
        <v>31</v>
      </c>
      <c r="P124">
        <v>30</v>
      </c>
      <c r="Q124" t="s">
        <v>1</v>
      </c>
      <c r="R124" t="s">
        <v>1</v>
      </c>
      <c r="S124">
        <v>16</v>
      </c>
      <c r="T124">
        <v>28</v>
      </c>
    </row>
    <row r="125" spans="1:20">
      <c r="A125">
        <v>1459548</v>
      </c>
      <c r="B125" t="s">
        <v>18</v>
      </c>
      <c r="C125">
        <v>176.5</v>
      </c>
      <c r="D125" s="1">
        <v>0.43049999999999999</v>
      </c>
      <c r="E125" t="s">
        <v>147</v>
      </c>
      <c r="F125">
        <v>27.5</v>
      </c>
      <c r="G125">
        <v>25</v>
      </c>
      <c r="H125">
        <v>20</v>
      </c>
      <c r="I125">
        <v>30</v>
      </c>
      <c r="J125">
        <v>30</v>
      </c>
      <c r="K125">
        <v>30</v>
      </c>
      <c r="L125">
        <v>14</v>
      </c>
      <c r="M125" t="s">
        <v>1</v>
      </c>
      <c r="N125" t="s">
        <v>1</v>
      </c>
      <c r="O125" t="s">
        <v>1</v>
      </c>
      <c r="P125" t="s">
        <v>1</v>
      </c>
      <c r="Q125" t="s">
        <v>1</v>
      </c>
      <c r="R125" t="s">
        <v>1</v>
      </c>
      <c r="S125">
        <v>8</v>
      </c>
      <c r="T125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6F7E9-DDCA-4157-BD24-2A6E50C3EBB2}">
  <dimension ref="A2:T11"/>
  <sheetViews>
    <sheetView tabSelected="1" workbookViewId="0">
      <selection activeCell="J20" sqref="J20"/>
    </sheetView>
  </sheetViews>
  <sheetFormatPr defaultRowHeight="14.4"/>
  <cols>
    <col min="1" max="1" width="13.77734375" customWidth="1"/>
    <col min="2" max="2" width="12.109375" customWidth="1"/>
    <col min="11" max="11" width="8.33203125" customWidth="1"/>
  </cols>
  <sheetData>
    <row r="2" spans="1:20" ht="14.4" customHeight="1">
      <c r="G2" s="9" t="s">
        <v>148</v>
      </c>
      <c r="H2" s="9"/>
      <c r="I2" s="9"/>
      <c r="J2" s="9"/>
      <c r="K2" s="9"/>
      <c r="L2" s="9"/>
      <c r="M2" s="9"/>
      <c r="N2" s="9"/>
    </row>
    <row r="3" spans="1:20" ht="14.4" customHeight="1">
      <c r="G3" s="9"/>
      <c r="H3" s="9"/>
      <c r="I3" s="9"/>
      <c r="J3" s="9"/>
      <c r="K3" s="9"/>
      <c r="L3" s="9"/>
      <c r="M3" s="9"/>
      <c r="N3" s="9"/>
    </row>
    <row r="4" spans="1:20">
      <c r="G4" s="10" t="s">
        <v>149</v>
      </c>
      <c r="H4" s="10"/>
      <c r="I4" s="10"/>
      <c r="J4" s="10"/>
      <c r="K4" s="10"/>
      <c r="L4" s="10"/>
      <c r="M4" s="10"/>
      <c r="N4" s="10"/>
    </row>
    <row r="5" spans="1:20" ht="30" customHeight="1">
      <c r="G5" s="10">
        <v>1459551</v>
      </c>
      <c r="H5" s="10"/>
      <c r="I5" s="10"/>
      <c r="J5" s="10"/>
      <c r="K5" s="10"/>
      <c r="L5" s="10"/>
      <c r="M5" s="10"/>
      <c r="N5" s="10"/>
    </row>
    <row r="10" spans="1:20" ht="44.4" customHeight="1">
      <c r="A10" s="4" t="s">
        <v>126</v>
      </c>
      <c r="B10" s="5" t="s">
        <v>127</v>
      </c>
      <c r="C10" s="5" t="s">
        <v>128</v>
      </c>
      <c r="D10" s="5" t="s">
        <v>129</v>
      </c>
      <c r="E10" s="5" t="s">
        <v>130</v>
      </c>
      <c r="F10" s="5" t="s">
        <v>131</v>
      </c>
      <c r="G10" s="6" t="s">
        <v>132</v>
      </c>
      <c r="H10" s="5" t="s">
        <v>133</v>
      </c>
      <c r="I10" s="6" t="s">
        <v>134</v>
      </c>
      <c r="J10" s="6" t="s">
        <v>135</v>
      </c>
      <c r="K10" s="6" t="s">
        <v>136</v>
      </c>
      <c r="L10" s="6" t="s">
        <v>137</v>
      </c>
      <c r="M10" s="6" t="s">
        <v>138</v>
      </c>
      <c r="N10" s="6" t="s">
        <v>139</v>
      </c>
      <c r="O10" s="6" t="s">
        <v>140</v>
      </c>
      <c r="P10" s="6" t="s">
        <v>141</v>
      </c>
      <c r="Q10" s="6" t="s">
        <v>142</v>
      </c>
      <c r="R10" s="6" t="s">
        <v>143</v>
      </c>
      <c r="S10" s="6" t="s">
        <v>144</v>
      </c>
      <c r="T10" s="7" t="s">
        <v>145</v>
      </c>
    </row>
    <row r="11" spans="1:20" s="8" customFormat="1" ht="83.4" customHeight="1">
      <c r="A11" s="11">
        <f>G5</f>
        <v>1459551</v>
      </c>
      <c r="B11" s="12" t="str">
        <f>VLOOKUP($G$5,Sheet1!A2:T125,2,FALSE)</f>
        <v>هاجر محمد مصطفى محمود رضوان</v>
      </c>
      <c r="C11" s="11">
        <f>VLOOKUP(G5,Sheet1!A2:T125,3,FALSE)</f>
        <v>280</v>
      </c>
      <c r="D11" s="13">
        <f>VLOOKUP(G5,Sheet1!A2:T125,4,FALSE)</f>
        <v>0.68289999999999995</v>
      </c>
      <c r="E11" s="11" t="str">
        <f>VLOOKUP(G5,Sheet1!A2:T125,5,FALSE)</f>
        <v>ناجح</v>
      </c>
      <c r="F11" s="11">
        <f>VLOOKUP(G5,Sheet1!A2:T125,6,FALSE)</f>
        <v>69</v>
      </c>
      <c r="G11" s="11">
        <f>VLOOKUP(G5,Sheet1!A2:T125,7,FALSE)</f>
        <v>36</v>
      </c>
      <c r="H11" s="11">
        <f>VLOOKUP($G$5,Sheet1!$A$2:$T$125,8,FALSE)</f>
        <v>32.5</v>
      </c>
      <c r="I11" s="11">
        <f>VLOOKUP($G$5,Sheet1!$A$2:$T$125,9,FALSE)</f>
        <v>49.5</v>
      </c>
      <c r="J11" s="11">
        <f>VLOOKUP($G$5,Sheet1!$A$2:$T$125,10,FALSE)</f>
        <v>33</v>
      </c>
      <c r="K11" s="11">
        <f>VLOOKUP($G$5,Sheet1!$A$2:$T$125,11,FALSE)</f>
        <v>30</v>
      </c>
      <c r="L11" s="11">
        <f>VLOOKUP($G$5,Sheet1!$A$2:$T$125,12,FALSE)</f>
        <v>30</v>
      </c>
      <c r="M11" s="11" t="str">
        <f>VLOOKUP($G$5,Sheet1!$A$2:$T$125,13,FALSE)</f>
        <v>غير مقرر</v>
      </c>
      <c r="N11" s="11" t="str">
        <f>VLOOKUP($G$5,Sheet1!$A$2:$T$125,14,FALSE)</f>
        <v>غير مقرر</v>
      </c>
      <c r="O11" s="11" t="str">
        <f>VLOOKUP($G$5,Sheet1!$A$2:$T$125,15,FALSE)</f>
        <v>غير مقرر</v>
      </c>
      <c r="P11" s="11" t="str">
        <f>VLOOKUP($G$5,Sheet1!$A$2:$T$125,16,FALSE)</f>
        <v>غير مقرر</v>
      </c>
      <c r="Q11" s="11" t="str">
        <f>VLOOKUP($G$5,Sheet1!$A$2:$T$125,17,FALSE)</f>
        <v>غير مقرر</v>
      </c>
      <c r="R11" s="11" t="str">
        <f>VLOOKUP($G$5,Sheet1!$A$2:$T$125,18,FALSE)</f>
        <v>غير مقرر</v>
      </c>
      <c r="S11" s="11">
        <f>VLOOKUP($G$5,Sheet1!$A$2:$T$125,19,FALSE)</f>
        <v>14</v>
      </c>
      <c r="T11" s="11">
        <f>VLOOKUP($G$5,Sheet1!$A$2:$T$125,20,FALSE)</f>
        <v>28</v>
      </c>
    </row>
  </sheetData>
  <mergeCells count="3">
    <mergeCell ref="G2:N3"/>
    <mergeCell ref="G4:N4"/>
    <mergeCell ref="G5:N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Taha</dc:creator>
  <cp:lastModifiedBy>Ahmed Taha</cp:lastModifiedBy>
  <dcterms:created xsi:type="dcterms:W3CDTF">2015-06-05T18:17:20Z</dcterms:created>
  <dcterms:modified xsi:type="dcterms:W3CDTF">2023-08-01T12:43:17Z</dcterms:modified>
</cp:coreProperties>
</file>